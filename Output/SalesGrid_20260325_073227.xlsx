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s 1-3" sheetId="1" state="visible" r:id="rId1"/>
    <sheet name="Comps 4-6" sheetId="2" state="visible" r:id="rId2"/>
    <sheet name="Comps 7-9" sheetId="3" state="visible" r:id="rId3"/>
    <sheet name="Comps 10-12" sheetId="4" state="visible" r:id="rId4"/>
    <sheet name="Comps 13-15" sheetId="5" state="visible" r:id="rId5"/>
    <sheet name="Comps 16-18" sheetId="6" state="visible" r:id="rId6"/>
    <sheet name="Comps 19-21" sheetId="7" state="visible" r:id="rId7"/>
    <sheet name="Comps 22-24" sheetId="8" state="visible" r:id="rId8"/>
    <sheet name="Comps 25-27" sheetId="9" state="visible" r:id="rId9"/>
    <sheet name="Comps 28-30" sheetId="10" state="visible" r:id="rId10"/>
  </sheets>
</workbook>
</file>

<file path=xl/sharedStrings.xml><?xml version="1.0" encoding="utf-8"?>
<sst xmlns="http://schemas.openxmlformats.org/spreadsheetml/2006/main" count="389" uniqueCount="389">
  <si>
    <t xml:space="preserve">Intermediate Sales Comparable Grid: Comps 1-3</t>
  </si>
  <si>
    <t xml:space="preserve">Subject</t>
  </si>
  <si>
    <t xml:space="preserve">Comparable Sale No. 1</t>
  </si>
  <si>
    <t xml:space="preserve">Comparable Sale No. 2</t>
  </si>
  <si>
    <t xml:space="preserve">Comparable Sale No. 3</t>
  </si>
  <si>
    <t xml:space="preserve">Street, City, State Zip</t>
  </si>
  <si>
    <t xml:space="preserve">1145 Cottonwood Lane, Valleybrook 93712</t>
  </si>
  <si>
    <t xml:space="preserve">1437 Oak Valley Drive, Valleybrook 93710</t>
  </si>
  <si>
    <t xml:space="preserve">1201 Boulder Creek Drive, Valleybrook 93711</t>
  </si>
  <si>
    <t xml:space="preserve">2012 Wren Court, Valleybrook 93712</t>
  </si>
  <si>
    <t xml:space="preserve">APN | MLS# | DOM | Subj.Prox</t>
  </si>
  <si>
    <t xml:space="preserve">761-160-21</t>
  </si>
  <si>
    <t xml:space="preserve">0.00 mi</t>
  </si>
  <si>
    <t xml:space="preserve">112-569-73</t>
  </si>
  <si>
    <t xml:space="preserve">AN43971980</t>
  </si>
  <si>
    <t xml:space="preserve">0.53 mi</t>
  </si>
  <si>
    <t xml:space="preserve">221-282-78</t>
  </si>
  <si>
    <t xml:space="preserve">AN56676884</t>
  </si>
  <si>
    <t xml:space="preserve">0.18 mi</t>
  </si>
  <si>
    <t xml:space="preserve">767-401-69</t>
  </si>
  <si>
    <t xml:space="preserve">AN84020689</t>
  </si>
  <si>
    <t xml:space="preserve">1.05 mi</t>
  </si>
  <si>
    <t xml:space="preserve">Sales Price | Concess. | Net SP</t>
  </si>
  <si>
    <t xml:space="preserve">N/A</t>
  </si>
  <si>
    <t xml:space="preserve">Regression Features</t>
  </si>
  <si>
    <t xml:space="preserve">Factual Value</t>
  </si>
  <si>
    <t xml:space="preserve">Value Contrib.</t>
  </si>
  <si>
    <t xml:space="preserve">Adjustment</t>
  </si>
  <si>
    <t xml:space="preserve">BASE VALUE</t>
  </si>
  <si>
    <t xml:space="preserve">Date of Sale | OffMkt | OnMkt</t>
  </si>
  <si>
    <t xml:space="preserve">12/18/25</t>
  </si>
  <si>
    <t xml:space="preserve">11/12/25</t>
  </si>
  <si>
    <t xml:space="preserve">6/12/25</t>
  </si>
  <si>
    <t xml:space="preserve">10/7/24</t>
  </si>
  <si>
    <t xml:space="preserve">Loc: Long | Lat | Area</t>
  </si>
  <si>
    <t xml:space="preserve">-121.45</t>
  </si>
  <si>
    <t xml:space="preserve">37.72</t>
  </si>
  <si>
    <t xml:space="preserve">466</t>
  </si>
  <si>
    <t xml:space="preserve">-121.459</t>
  </si>
  <si>
    <t xml:space="preserve">37.723</t>
  </si>
  <si>
    <t xml:space="preserve">-121.453</t>
  </si>
  <si>
    <t xml:space="preserve">37.719</t>
  </si>
  <si>
    <t xml:space="preserve">-121.467</t>
  </si>
  <si>
    <t xml:space="preserve">37.727</t>
  </si>
  <si>
    <t xml:space="preserve">470</t>
  </si>
  <si>
    <t xml:space="preserve">Site Size | Dimensions</t>
  </si>
  <si>
    <t xml:space="preserve">5984</t>
  </si>
  <si>
    <t xml:space="preserve">5979</t>
  </si>
  <si>
    <t xml:space="preserve">5974</t>
  </si>
  <si>
    <t xml:space="preserve">5763</t>
  </si>
  <si>
    <t xml:space="preserve">Actual Age | Effective Age</t>
  </si>
  <si>
    <t xml:space="preserve">78</t>
  </si>
  <si>
    <t xml:space="preserve">85</t>
  </si>
  <si>
    <t xml:space="preserve">102</t>
  </si>
  <si>
    <t xml:space="preserve">75</t>
  </si>
  <si>
    <t xml:space="preserve">Sale Age</t>
  </si>
  <si>
    <t xml:space="preserve">13</t>
  </si>
  <si>
    <t xml:space="preserve">49</t>
  </si>
  <si>
    <t xml:space="preserve">202</t>
  </si>
  <si>
    <t xml:space="preserve">450</t>
  </si>
  <si>
    <t xml:space="preserve">Living SF</t>
  </si>
  <si>
    <t xml:space="preserve">1764</t>
  </si>
  <si>
    <t xml:space="preserve">1720</t>
  </si>
  <si>
    <t xml:space="preserve">1710</t>
  </si>
  <si>
    <t xml:space="preserve">1730</t>
  </si>
  <si>
    <t xml:space="preserve">Beds</t>
  </si>
  <si>
    <t xml:space="preserve">3</t>
  </si>
  <si>
    <t xml:space="preserve">2</t>
  </si>
  <si>
    <t xml:space="preserve">Baths</t>
  </si>
  <si>
    <t xml:space="preserve">Garage</t>
  </si>
  <si>
    <t xml:space="preserve">1</t>
  </si>
  <si>
    <t xml:space="preserve">Living SF,Sale Age</t>
  </si>
  <si>
    <t xml:space="preserve">Beds,Living SF</t>
  </si>
  <si>
    <t xml:space="preserve">Baths,Living SF</t>
  </si>
  <si>
    <t xml:space="preserve">Residual Features</t>
  </si>
  <si>
    <t xml:space="preserve">CQA / Description</t>
  </si>
  <si>
    <t xml:space="preserve">Description</t>
  </si>
  <si>
    <t xml:space="preserve">CQA | Residual</t>
  </si>
  <si>
    <t xml:space="preserve">View</t>
  </si>
  <si>
    <t xml:space="preserve">Design</t>
  </si>
  <si>
    <t xml:space="preserve">Quality of Construction</t>
  </si>
  <si>
    <t xml:space="preserve">Condition</t>
  </si>
  <si>
    <t xml:space="preserve">Functional Utility</t>
  </si>
  <si>
    <t xml:space="preserve">Total VC / Net Adjustment</t>
  </si>
  <si>
    <t xml:space="preserve">Net Adjustment %</t>
  </si>
  <si>
    <t xml:space="preserve">Gross Adjustment %</t>
  </si>
  <si>
    <t xml:space="preserve">Adjusted Sale Price</t>
  </si>
  <si>
    <t xml:space="preserve">Generated by earthUI 2026-03-25  |  Copyright 2022-2026, Pacific Vista Net</t>
  </si>
  <si>
    <t xml:space="preserve">Intermediate Sales Comparable Grid: Comps 4-6</t>
  </si>
  <si>
    <t xml:space="preserve">Comparable Sale No. 4</t>
  </si>
  <si>
    <t xml:space="preserve">Comparable Sale No. 5</t>
  </si>
  <si>
    <t xml:space="preserve">Comparable Sale No. 6</t>
  </si>
  <si>
    <t xml:space="preserve">1645 Silver Leaf Way, Valleybrook 93710</t>
  </si>
  <si>
    <t xml:space="preserve">2330 Copper Creek Way, Valleybrook 93712</t>
  </si>
  <si>
    <t xml:space="preserve">1641 Blue Jay Way, Valleybrook 93710</t>
  </si>
  <si>
    <t xml:space="preserve">220-285-86</t>
  </si>
  <si>
    <t xml:space="preserve">AN98393430</t>
  </si>
  <si>
    <t xml:space="preserve">0.94 mi</t>
  </si>
  <si>
    <t xml:space="preserve">564-488-51</t>
  </si>
  <si>
    <t xml:space="preserve">AN97161631</t>
  </si>
  <si>
    <t xml:space="preserve">0.71 mi</t>
  </si>
  <si>
    <t xml:space="preserve">995-578-31</t>
  </si>
  <si>
    <t xml:space="preserve">AN83651529</t>
  </si>
  <si>
    <t xml:space="preserve">0.95 mi</t>
  </si>
  <si>
    <t xml:space="preserve">1/23/25</t>
  </si>
  <si>
    <t xml:space="preserve">2/27/25</t>
  </si>
  <si>
    <t xml:space="preserve">10/24/24</t>
  </si>
  <si>
    <t xml:space="preserve">-121.464</t>
  </si>
  <si>
    <t xml:space="preserve">37.728</t>
  </si>
  <si>
    <t xml:space="preserve">-121.463</t>
  </si>
  <si>
    <t xml:space="preserve">37.721</t>
  </si>
  <si>
    <t xml:space="preserve">-121.465</t>
  </si>
  <si>
    <t xml:space="preserve">5486</t>
  </si>
  <si>
    <t xml:space="preserve">6549</t>
  </si>
  <si>
    <t xml:space="preserve">5991</t>
  </si>
  <si>
    <t xml:space="preserve">101</t>
  </si>
  <si>
    <t xml:space="preserve">76</t>
  </si>
  <si>
    <t xml:space="preserve">342</t>
  </si>
  <si>
    <t xml:space="preserve">307</t>
  </si>
  <si>
    <t xml:space="preserve">433</t>
  </si>
  <si>
    <t xml:space="preserve">1640</t>
  </si>
  <si>
    <t xml:space="preserve">1950</t>
  </si>
  <si>
    <t xml:space="preserve">1925</t>
  </si>
  <si>
    <t xml:space="preserve">Intermediate Sales Comparable Grid: Comps 7-9</t>
  </si>
  <si>
    <t xml:space="preserve">Comparable Sale No. 7</t>
  </si>
  <si>
    <t xml:space="preserve">Comparable Sale No. 8</t>
  </si>
  <si>
    <t xml:space="preserve">Comparable Sale No. 9</t>
  </si>
  <si>
    <t xml:space="preserve">932 Primrose Lane, Valleybrook 93710</t>
  </si>
  <si>
    <t xml:space="preserve">1107 Amber Hills Way, Valleybrook 93710</t>
  </si>
  <si>
    <t xml:space="preserve">700 Ironwood Avenue, Valleybrook 93713</t>
  </si>
  <si>
    <t xml:space="preserve">924-933-32</t>
  </si>
  <si>
    <t xml:space="preserve">AN39318337</t>
  </si>
  <si>
    <t xml:space="preserve">0.46 mi</t>
  </si>
  <si>
    <t xml:space="preserve">863-447-38</t>
  </si>
  <si>
    <t xml:space="preserve">AN51644346</t>
  </si>
  <si>
    <t xml:space="preserve">782-898-80</t>
  </si>
  <si>
    <t xml:space="preserve">AN14852765</t>
  </si>
  <si>
    <t xml:space="preserve">1.27 mi</t>
  </si>
  <si>
    <t xml:space="preserve">8/12/24</t>
  </si>
  <si>
    <t xml:space="preserve">5/27/22</t>
  </si>
  <si>
    <t xml:space="preserve">3/31/23</t>
  </si>
  <si>
    <t xml:space="preserve">-121.442</t>
  </si>
  <si>
    <t xml:space="preserve">37.722</t>
  </si>
  <si>
    <t xml:space="preserve">465</t>
  </si>
  <si>
    <t xml:space="preserve">-121.46</t>
  </si>
  <si>
    <t xml:space="preserve">37.731</t>
  </si>
  <si>
    <t xml:space="preserve">469</t>
  </si>
  <si>
    <t xml:space="preserve">-121.427</t>
  </si>
  <si>
    <t xml:space="preserve">463</t>
  </si>
  <si>
    <t xml:space="preserve">5737</t>
  </si>
  <si>
    <t xml:space="preserve">5087</t>
  </si>
  <si>
    <t xml:space="preserve">5410</t>
  </si>
  <si>
    <t xml:space="preserve">8</t>
  </si>
  <si>
    <t xml:space="preserve">86</t>
  </si>
  <si>
    <t xml:space="preserve">73</t>
  </si>
  <si>
    <t xml:space="preserve">506</t>
  </si>
  <si>
    <t xml:space="preserve">1314</t>
  </si>
  <si>
    <t xml:space="preserve">1006</t>
  </si>
  <si>
    <t xml:space="preserve">1754</t>
  </si>
  <si>
    <t xml:space="preserve">1570</t>
  </si>
  <si>
    <t xml:space="preserve">1756</t>
  </si>
  <si>
    <t xml:space="preserve">2.5</t>
  </si>
  <si>
    <t xml:space="preserve">Intermediate Sales Comparable Grid: Comps 10-12</t>
  </si>
  <si>
    <t xml:space="preserve">Comparable Sale No. 10</t>
  </si>
  <si>
    <t xml:space="preserve">Comparable Sale No. 11</t>
  </si>
  <si>
    <t xml:space="preserve">Comparable Sale No. 12</t>
  </si>
  <si>
    <t xml:space="preserve">1628 Ridgeline Drive, Valleybrook 93710</t>
  </si>
  <si>
    <t xml:space="preserve">220 Meadowlark Drive, Valleybrook 93713</t>
  </si>
  <si>
    <t xml:space="preserve">1421 Cypress Point Drive, Valleybrook 93712</t>
  </si>
  <si>
    <t xml:space="preserve">283-153-25</t>
  </si>
  <si>
    <t xml:space="preserve">AN73602527</t>
  </si>
  <si>
    <t xml:space="preserve">324-215-46</t>
  </si>
  <si>
    <t xml:space="preserve">AN22956471</t>
  </si>
  <si>
    <t xml:space="preserve">1.72 mi</t>
  </si>
  <si>
    <t xml:space="preserve">355-338-42</t>
  </si>
  <si>
    <t xml:space="preserve">AN88135616</t>
  </si>
  <si>
    <t xml:space="preserve">0.52 mi</t>
  </si>
  <si>
    <t xml:space="preserve">4/13/22</t>
  </si>
  <si>
    <t xml:space="preserve">6/23/25</t>
  </si>
  <si>
    <t xml:space="preserve">7/25/24</t>
  </si>
  <si>
    <t xml:space="preserve">37.729</t>
  </si>
  <si>
    <t xml:space="preserve">-121.419</t>
  </si>
  <si>
    <t xml:space="preserve">37.724</t>
  </si>
  <si>
    <t xml:space="preserve">462</t>
  </si>
  <si>
    <t xml:space="preserve">-121.458</t>
  </si>
  <si>
    <t xml:space="preserve">5515</t>
  </si>
  <si>
    <t xml:space="preserve">4861</t>
  </si>
  <si>
    <t xml:space="preserve">5969</t>
  </si>
  <si>
    <t xml:space="preserve">84</t>
  </si>
  <si>
    <t xml:space="preserve">1358</t>
  </si>
  <si>
    <t xml:space="preserve">191</t>
  </si>
  <si>
    <t xml:space="preserve">524</t>
  </si>
  <si>
    <t xml:space="preserve">1790</t>
  </si>
  <si>
    <t xml:space="preserve">1880</t>
  </si>
  <si>
    <t xml:space="preserve">1935</t>
  </si>
  <si>
    <t xml:space="preserve">4</t>
  </si>
  <si>
    <t xml:space="preserve">Intermediate Sales Comparable Grid: Comps 13-15</t>
  </si>
  <si>
    <t xml:space="preserve">Comparable Sale No. 13</t>
  </si>
  <si>
    <t xml:space="preserve">Comparable Sale No. 14</t>
  </si>
  <si>
    <t xml:space="preserve">Comparable Sale No. 15</t>
  </si>
  <si>
    <t xml:space="preserve">320 Morning Star Drive, Valleybrook 93710</t>
  </si>
  <si>
    <t xml:space="preserve">2162 Poplar Avenue, Valleybrook 93713</t>
  </si>
  <si>
    <t xml:space="preserve">1140 Juniper Ridge Road, Valleybrook 93711</t>
  </si>
  <si>
    <t xml:space="preserve">490-584-58</t>
  </si>
  <si>
    <t xml:space="preserve">AN28199754</t>
  </si>
  <si>
    <t xml:space="preserve">1.37 mi</t>
  </si>
  <si>
    <t xml:space="preserve">381-500-59</t>
  </si>
  <si>
    <t xml:space="preserve">AN99617131</t>
  </si>
  <si>
    <t xml:space="preserve">1.30 mi</t>
  </si>
  <si>
    <t xml:space="preserve">697-591-31</t>
  </si>
  <si>
    <t xml:space="preserve">AN16892773</t>
  </si>
  <si>
    <t xml:space="preserve">0.09 mi</t>
  </si>
  <si>
    <t xml:space="preserve">4/20/23</t>
  </si>
  <si>
    <t xml:space="preserve">4/11/25</t>
  </si>
  <si>
    <t xml:space="preserve">11/25/24</t>
  </si>
  <si>
    <t xml:space="preserve">-121.425</t>
  </si>
  <si>
    <t xml:space="preserve">-121.472</t>
  </si>
  <si>
    <t xml:space="preserve">472</t>
  </si>
  <si>
    <t xml:space="preserve">-121.451</t>
  </si>
  <si>
    <t xml:space="preserve">4991</t>
  </si>
  <si>
    <t xml:space="preserve">8388</t>
  </si>
  <si>
    <t xml:space="preserve">79</t>
  </si>
  <si>
    <t xml:space="preserve">68</t>
  </si>
  <si>
    <t xml:space="preserve">986</t>
  </si>
  <si>
    <t xml:space="preserve">264</t>
  </si>
  <si>
    <t xml:space="preserve">401</t>
  </si>
  <si>
    <t xml:space="preserve">1745</t>
  </si>
  <si>
    <t xml:space="preserve">Intermediate Sales Comparable Grid: Comps 16-18</t>
  </si>
  <si>
    <t xml:space="preserve">Comparable Sale No. 16</t>
  </si>
  <si>
    <t xml:space="preserve">Comparable Sale No. 17</t>
  </si>
  <si>
    <t xml:space="preserve">Comparable Sale No. 18</t>
  </si>
  <si>
    <t xml:space="preserve">1202 Willow Springs Drive, Valleybrook 93713</t>
  </si>
  <si>
    <t xml:space="preserve">2248 Ironwood Avenue, Valleybrook 93712</t>
  </si>
  <si>
    <t xml:space="preserve">1594 Foothill Drive, Valleybrook 93713</t>
  </si>
  <si>
    <t xml:space="preserve">322-872-17</t>
  </si>
  <si>
    <t xml:space="preserve">AN82445335</t>
  </si>
  <si>
    <t xml:space="preserve">0.44 mi</t>
  </si>
  <si>
    <t xml:space="preserve">343-337-21</t>
  </si>
  <si>
    <t xml:space="preserve">AN17774227</t>
  </si>
  <si>
    <t xml:space="preserve">1.09 mi</t>
  </si>
  <si>
    <t xml:space="preserve">171-892-99</t>
  </si>
  <si>
    <t xml:space="preserve">AN23001760</t>
  </si>
  <si>
    <t xml:space="preserve">0.31 mi</t>
  </si>
  <si>
    <t xml:space="preserve">7/28/25</t>
  </si>
  <si>
    <t xml:space="preserve">11/14/24</t>
  </si>
  <si>
    <t xml:space="preserve">11/3/22</t>
  </si>
  <si>
    <t xml:space="preserve">-121.443</t>
  </si>
  <si>
    <t xml:space="preserve">-121.469</t>
  </si>
  <si>
    <t xml:space="preserve">37.725</t>
  </si>
  <si>
    <t xml:space="preserve">-121.445</t>
  </si>
  <si>
    <t xml:space="preserve">37.718</t>
  </si>
  <si>
    <t xml:space="preserve">460</t>
  </si>
  <si>
    <t xml:space="preserve">4302</t>
  </si>
  <si>
    <t xml:space="preserve">7689</t>
  </si>
  <si>
    <t xml:space="preserve">7044</t>
  </si>
  <si>
    <t xml:space="preserve">156</t>
  </si>
  <si>
    <t xml:space="preserve">412</t>
  </si>
  <si>
    <t xml:space="preserve">1154</t>
  </si>
  <si>
    <t xml:space="preserve">1590</t>
  </si>
  <si>
    <t xml:space="preserve">1940</t>
  </si>
  <si>
    <t xml:space="preserve">0</t>
  </si>
  <si>
    <t xml:space="preserve">Intermediate Sales Comparable Grid: Comps 19-21</t>
  </si>
  <si>
    <t xml:space="preserve">Comparable Sale No. 19</t>
  </si>
  <si>
    <t xml:space="preserve">Comparable Sale No. 20</t>
  </si>
  <si>
    <t xml:space="preserve">Comparable Sale No. 21</t>
  </si>
  <si>
    <t xml:space="preserve">100 Summit View Road, Valleybrook 93711</t>
  </si>
  <si>
    <t xml:space="preserve">443 Pelican Drive, Valleybrook 93711</t>
  </si>
  <si>
    <t xml:space="preserve">1458 Sand Piper Way, Valleybrook 93711</t>
  </si>
  <si>
    <t xml:space="preserve">547-908-77</t>
  </si>
  <si>
    <t xml:space="preserve">AN75970674</t>
  </si>
  <si>
    <t xml:space="preserve">1.15 mi</t>
  </si>
  <si>
    <t xml:space="preserve">933-312-67</t>
  </si>
  <si>
    <t xml:space="preserve">AN22008959</t>
  </si>
  <si>
    <t xml:space="preserve">1.22 mi</t>
  </si>
  <si>
    <t xml:space="preserve">500-688-10</t>
  </si>
  <si>
    <t xml:space="preserve">AN54269149</t>
  </si>
  <si>
    <t xml:space="preserve">0.61 mi</t>
  </si>
  <si>
    <t xml:space="preserve">5/4/22</t>
  </si>
  <si>
    <t xml:space="preserve">5/5/25</t>
  </si>
  <si>
    <t xml:space="preserve">11/17/23</t>
  </si>
  <si>
    <t xml:space="preserve">-121.471</t>
  </si>
  <si>
    <t xml:space="preserve">-121.428</t>
  </si>
  <si>
    <t xml:space="preserve">7751</t>
  </si>
  <si>
    <t xml:space="preserve">5625</t>
  </si>
  <si>
    <t xml:space="preserve">6008</t>
  </si>
  <si>
    <t xml:space="preserve">69</t>
  </si>
  <si>
    <t xml:space="preserve">100</t>
  </si>
  <si>
    <t xml:space="preserve">1337</t>
  </si>
  <si>
    <t xml:space="preserve">240</t>
  </si>
  <si>
    <t xml:space="preserve">775</t>
  </si>
  <si>
    <t xml:space="preserve">2060</t>
  </si>
  <si>
    <t xml:space="preserve">1525</t>
  </si>
  <si>
    <t xml:space="preserve">1700</t>
  </si>
  <si>
    <t xml:space="preserve">1.5</t>
  </si>
  <si>
    <t xml:space="preserve">Intermediate Sales Comparable Grid: Comps 22-24</t>
  </si>
  <si>
    <t xml:space="preserve">Comparable Sale No. 22</t>
  </si>
  <si>
    <t xml:space="preserve">Comparable Sale No. 23</t>
  </si>
  <si>
    <t xml:space="preserve">Comparable Sale No. 24</t>
  </si>
  <si>
    <t xml:space="preserve">331 Sparrow Creek Road, Valleybrook 93710</t>
  </si>
  <si>
    <t xml:space="preserve">2612 Quail Hollow Lane, Valleybrook 93712</t>
  </si>
  <si>
    <t xml:space="preserve">411 Manzanita Road, Valleybrook 93713</t>
  </si>
  <si>
    <t xml:space="preserve">647-117-89</t>
  </si>
  <si>
    <t xml:space="preserve">AN79531133</t>
  </si>
  <si>
    <t xml:space="preserve">1.42 mi</t>
  </si>
  <si>
    <t xml:space="preserve">300-552-56</t>
  </si>
  <si>
    <t xml:space="preserve">AN11432428</t>
  </si>
  <si>
    <t xml:space="preserve">1.23 mi</t>
  </si>
  <si>
    <t xml:space="preserve">461-208-18</t>
  </si>
  <si>
    <t xml:space="preserve">AN18020907</t>
  </si>
  <si>
    <t xml:space="preserve">1.59 mi</t>
  </si>
  <si>
    <t xml:space="preserve">5/19/23</t>
  </si>
  <si>
    <t xml:space="preserve">5/17/24</t>
  </si>
  <si>
    <t xml:space="preserve">10/2/23</t>
  </si>
  <si>
    <t xml:space="preserve">-121.424</t>
  </si>
  <si>
    <t xml:space="preserve">-121.421</t>
  </si>
  <si>
    <t xml:space="preserve">4968</t>
  </si>
  <si>
    <t xml:space="preserve">7499</t>
  </si>
  <si>
    <t xml:space="preserve">4725</t>
  </si>
  <si>
    <t xml:space="preserve">88</t>
  </si>
  <si>
    <t xml:space="preserve">117</t>
  </si>
  <si>
    <t xml:space="preserve">957</t>
  </si>
  <si>
    <t xml:space="preserve">593</t>
  </si>
  <si>
    <t xml:space="preserve">821</t>
  </si>
  <si>
    <t xml:space="preserve">1820</t>
  </si>
  <si>
    <t xml:space="preserve">1930</t>
  </si>
  <si>
    <t xml:space="preserve">1615</t>
  </si>
  <si>
    <t xml:space="preserve">Intermediate Sales Comparable Grid: Comps 25-27</t>
  </si>
  <si>
    <t xml:space="preserve">Comparable Sale No. 25</t>
  </si>
  <si>
    <t xml:space="preserve">Comparable Sale No. 26</t>
  </si>
  <si>
    <t xml:space="preserve">Comparable Sale No. 27</t>
  </si>
  <si>
    <t xml:space="preserve">2391 Sycamore Terrace, Valleybrook 93710</t>
  </si>
  <si>
    <t xml:space="preserve">785 Falcon Ridge Drive, Valleybrook 93711</t>
  </si>
  <si>
    <t xml:space="preserve">1596 Meadow Creek Lane, Valleybrook 93712</t>
  </si>
  <si>
    <t xml:space="preserve">619-320-62</t>
  </si>
  <si>
    <t xml:space="preserve">AN45960132</t>
  </si>
  <si>
    <t xml:space="preserve">0.66 mi</t>
  </si>
  <si>
    <t xml:space="preserve">525-211-65</t>
  </si>
  <si>
    <t xml:space="preserve">AN30634593</t>
  </si>
  <si>
    <t xml:space="preserve">0.60 mi</t>
  </si>
  <si>
    <t xml:space="preserve">958-118-87</t>
  </si>
  <si>
    <t xml:space="preserve">AN32896080</t>
  </si>
  <si>
    <t xml:space="preserve">0.30 mi</t>
  </si>
  <si>
    <t xml:space="preserve">10/16/22</t>
  </si>
  <si>
    <t xml:space="preserve">9/6/25</t>
  </si>
  <si>
    <t xml:space="preserve">6/5/24</t>
  </si>
  <si>
    <t xml:space="preserve">-121.462</t>
  </si>
  <si>
    <t xml:space="preserve">-121.439</t>
  </si>
  <si>
    <t xml:space="preserve">-121.454</t>
  </si>
  <si>
    <t xml:space="preserve">5071</t>
  </si>
  <si>
    <t xml:space="preserve">5218</t>
  </si>
  <si>
    <t xml:space="preserve">6302</t>
  </si>
  <si>
    <t xml:space="preserve">103</t>
  </si>
  <si>
    <t xml:space="preserve">99</t>
  </si>
  <si>
    <t xml:space="preserve">1172</t>
  </si>
  <si>
    <t xml:space="preserve">116</t>
  </si>
  <si>
    <t xml:space="preserve">574</t>
  </si>
  <si>
    <t xml:space="preserve">1690</t>
  </si>
  <si>
    <t xml:space="preserve">1618</t>
  </si>
  <si>
    <t xml:space="preserve">1800</t>
  </si>
  <si>
    <t xml:space="preserve">Intermediate Sales Comparable Grid: Comps 28-30</t>
  </si>
  <si>
    <t xml:space="preserve">Comparable Sale No. 28</t>
  </si>
  <si>
    <t xml:space="preserve">Comparable Sale No. 29</t>
  </si>
  <si>
    <t xml:space="preserve">Comparable Sale No. 30</t>
  </si>
  <si>
    <t xml:space="preserve">1449 Ivy Glen Lane, Valleybrook 93711</t>
  </si>
  <si>
    <t xml:space="preserve">2130 Golden Eagle Lane, Valleybrook 93713</t>
  </si>
  <si>
    <t xml:space="preserve">1610 Ironwood Avenue, Valleybrook 93713</t>
  </si>
  <si>
    <t xml:space="preserve">418-727-53</t>
  </si>
  <si>
    <t xml:space="preserve">AN19562056</t>
  </si>
  <si>
    <t xml:space="preserve">0.77 mi</t>
  </si>
  <si>
    <t xml:space="preserve">408-827-52</t>
  </si>
  <si>
    <t xml:space="preserve">AN57328711</t>
  </si>
  <si>
    <t xml:space="preserve">0.62 mi</t>
  </si>
  <si>
    <t xml:space="preserve">935-434-51</t>
  </si>
  <si>
    <t xml:space="preserve">AN24453078</t>
  </si>
  <si>
    <t xml:space="preserve">8/31/24</t>
  </si>
  <si>
    <t xml:space="preserve">5/23/22</t>
  </si>
  <si>
    <t xml:space="preserve">5/16/24</t>
  </si>
  <si>
    <t xml:space="preserve">-121.461</t>
  </si>
  <si>
    <t xml:space="preserve">-121.466</t>
  </si>
  <si>
    <t xml:space="preserve">6199</t>
  </si>
  <si>
    <t xml:space="preserve">6283</t>
  </si>
  <si>
    <t xml:space="preserve">6640</t>
  </si>
  <si>
    <t xml:space="preserve">96</t>
  </si>
  <si>
    <t xml:space="preserve">487</t>
  </si>
  <si>
    <t xml:space="preserve">1318</t>
  </si>
  <si>
    <t xml:space="preserve">594</t>
  </si>
  <si>
    <t xml:space="preserve">1990</t>
  </si>
  <si>
    <t xml:space="preserve">2080</t>
  </si>
  <si>
    <t xml:space="preserve">1740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</si>
</sst>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#,##0"/>
    <numFmt numFmtId="167" formatCode="#,##0"/>
    <numFmt numFmtId="169" formatCode="0.00"/>
    <numFmt numFmtId="168" formatCode="#,##0"/>
    <numFmt numFmtId="171" formatCode="0.0%"/>
    <numFmt numFmtId="172" formatCode="#,##0"/>
    <numFmt numFmtId="170" formatCode="#,##0"/>
  </numFmts>
  <fonts count="4">
    <font>
      <sz val="9"/>
      <color rgb="FF000000"/>
      <name val="Arial Narrow"/>
    </font>
    <font>
      <sz val="11"/>
      <color rgb="FFFFFFFF"/>
      <name val="Arial Narrow"/>
      <b/>
    </font>
    <font>
      <sz val="9"/>
      <color rgb="FF000000"/>
      <name val="Arial Narrow"/>
      <b/>
    </font>
    <font>
      <sz val="9"/>
      <color rgb="FFC00000"/>
      <name val="Arial Narrow"/>
      <b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CCCC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FFFDD"/>
      </patternFill>
    </fill>
  </fills>
  <borders count="3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center" vertical="center"/>
    </xf>
    <xf numFmtId="166" fontId="0" fillId="5" borderId="2" xfId="0" applyFont="1" applyNumberFormat="1" applyFill="1" applyBorder="1" applyAlignment="1">
      <alignment horizontal="center" vertical="center"/>
    </xf>
    <xf numFmtId="167" fontId="0" fillId="6" borderId="2" xfId="0" applyFont="1" applyNumberFormat="1" applyFill="1" applyBorder="1" applyAlignment="1">
      <alignment horizontal="right" vertical="center"/>
    </xf>
    <xf numFmtId="166" fontId="0" fillId="5" borderId="2" xfId="0" applyFont="1" applyNumberFormat="1" applyFill="1" applyBorder="1" applyAlignment="1">
      <alignment horizontal="right" vertical="center"/>
    </xf>
    <xf numFmtId="169" fontId="0" fillId="5" borderId="2" xfId="0" applyFont="1" applyNumberFormat="1" applyFill="1" applyBorder="1" applyAlignment="1">
      <alignment horizontal="center" vertical="center"/>
    </xf>
    <xf numFmtId="168" fontId="3" fillId="5" borderId="2" xfId="0" applyFont="1" applyNumberFormat="1" applyFill="1" applyBorder="1" applyAlignment="1">
      <alignment horizontal="center" vertical="center"/>
    </xf>
    <xf numFmtId="168" fontId="3" fillId="7" borderId="2" xfId="0" applyFont="1" applyNumberFormat="1" applyFill="1" applyBorder="1" applyAlignment="1">
      <alignment horizontal="right" vertical="center"/>
    </xf>
    <xf numFmtId="171" fontId="0" fillId="5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70" fontId="0" fillId="8" borderId="2" xfId="0" applyFont="1" applyNumberForma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 t="s">
        <v>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</v>
      </c>
      <c r="G3" s="3"/>
      <c r="H3" s="3"/>
      <c r="I3" s="3"/>
      <c r="J3" s="3"/>
      <c r="K3" s="3" t="s">
        <v>8</v>
      </c>
      <c r="L3" s="3"/>
      <c r="M3" s="3"/>
      <c r="N3" s="3"/>
      <c r="O3" s="3"/>
      <c r="P3" s="3" t="s">
        <v>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</v>
      </c>
      <c r="G4" s="5" t="s">
        <v>14</v>
      </c>
      <c r="H4" s="5" t="n">
        <v>5</v>
      </c>
      <c r="I4" s="5" t="s">
        <v>15</v>
      </c>
      <c r="J4" s="5"/>
      <c r="K4" s="5" t="s">
        <v>16</v>
      </c>
      <c r="L4" s="5" t="s">
        <v>17</v>
      </c>
      <c r="M4" s="5" t="n">
        <v>10</v>
      </c>
      <c r="N4" s="5" t="s">
        <v>18</v>
      </c>
      <c r="O4" s="5"/>
      <c r="P4" s="5" t="s">
        <v>19</v>
      </c>
      <c r="Q4" s="5" t="s">
        <v>20</v>
      </c>
      <c r="R4" s="5" t="n">
        <v>29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2911000</v>
      </c>
      <c r="G5" s="6" t="n">
        <v>0</v>
      </c>
      <c r="H5" s="6" t="str">
        <f>F5-G5</f>
      </c>
      <c r="I5" s="5"/>
      <c r="J5" s="5"/>
      <c r="K5" s="6" t="n">
        <v>2881000</v>
      </c>
      <c r="L5" s="6" t="n">
        <v>0</v>
      </c>
      <c r="M5" s="6" t="str">
        <f>K5-L5</f>
      </c>
      <c r="N5" s="5"/>
      <c r="O5" s="5"/>
      <c r="P5" s="6" t="n">
        <v>3146000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31</v>
      </c>
      <c r="G8" s="5" t="n">
        <v>49</v>
      </c>
      <c r="H8" s="5" t="n">
        <v>5</v>
      </c>
      <c r="I8" s="5"/>
      <c r="J8" s="5"/>
      <c r="K8" s="5" t="s">
        <v>32</v>
      </c>
      <c r="L8" s="5" t="n">
        <v>202</v>
      </c>
      <c r="M8" s="5" t="n">
        <v>10</v>
      </c>
      <c r="N8" s="5"/>
      <c r="O8" s="5"/>
      <c r="P8" s="5" t="s">
        <v>33</v>
      </c>
      <c r="Q8" s="5" t="n">
        <v>450</v>
      </c>
      <c r="R8" s="5" t="n">
        <v>29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38</v>
      </c>
      <c r="G9" s="5" t="s">
        <v>39</v>
      </c>
      <c r="H9" s="5" t="s">
        <v>37</v>
      </c>
      <c r="I9" s="7" t="n">
        <v>-3044254502524</v>
      </c>
      <c r="J9" s="8" t="n">
        <v>-342725772176</v>
      </c>
      <c r="K9" s="5" t="s">
        <v>40</v>
      </c>
      <c r="L9" s="5" t="s">
        <v>41</v>
      </c>
      <c r="M9" s="5" t="s">
        <v>37</v>
      </c>
      <c r="N9" s="7" t="n">
        <v>-3255942407624</v>
      </c>
      <c r="O9" s="8" t="n">
        <v>-131037867076</v>
      </c>
      <c r="P9" s="5" t="s">
        <v>42</v>
      </c>
      <c r="Q9" s="5" t="s">
        <v>43</v>
      </c>
      <c r="R9" s="5" t="s">
        <v>44</v>
      </c>
      <c r="S9" s="7" t="n">
        <v>-3175261356913</v>
      </c>
      <c r="T9" s="8" t="n">
        <v>-211718917787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47</v>
      </c>
      <c r="G10" s="5"/>
      <c r="H10" s="5"/>
      <c r="I10" s="7" t="n">
        <v>56736</v>
      </c>
      <c r="J10" s="8" t="n">
        <v>6510</v>
      </c>
      <c r="K10" s="5" t="s">
        <v>48</v>
      </c>
      <c r="L10" s="5"/>
      <c r="M10" s="5"/>
      <c r="N10" s="7" t="n">
        <v>60722</v>
      </c>
      <c r="O10" s="8" t="n">
        <v>2524</v>
      </c>
      <c r="P10" s="5" t="s">
        <v>49</v>
      </c>
      <c r="Q10" s="5"/>
      <c r="R10" s="5"/>
      <c r="S10" s="7" t="n">
        <v>56979</v>
      </c>
      <c r="T10" s="8" t="n">
        <v>6267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52</v>
      </c>
      <c r="G11" s="5"/>
      <c r="H11" s="5"/>
      <c r="I11" s="7" t="n">
        <v>162702</v>
      </c>
      <c r="J11" s="8" t="n">
        <v>14202</v>
      </c>
      <c r="K11" s="5" t="s">
        <v>53</v>
      </c>
      <c r="L11" s="5"/>
      <c r="M11" s="5"/>
      <c r="N11" s="7" t="n">
        <v>182259</v>
      </c>
      <c r="O11" s="8" t="n">
        <v>-5355</v>
      </c>
      <c r="P11" s="5" t="s">
        <v>54</v>
      </c>
      <c r="Q11" s="5"/>
      <c r="R11" s="5"/>
      <c r="S11" s="7" t="n">
        <v>164461</v>
      </c>
      <c r="T11" s="8" t="n">
        <v>12443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57</v>
      </c>
      <c r="G12" s="5"/>
      <c r="H12" s="5"/>
      <c r="I12" s="6" t="n">
        <v>206049</v>
      </c>
      <c r="J12" s="6" t="n">
        <v>11515</v>
      </c>
      <c r="K12" s="5" t="s">
        <v>58</v>
      </c>
      <c r="L12" s="5"/>
      <c r="M12" s="5"/>
      <c r="N12" s="6" t="n">
        <v>172425</v>
      </c>
      <c r="O12" s="6" t="n">
        <v>65420</v>
      </c>
      <c r="P12" s="5" t="s">
        <v>59</v>
      </c>
      <c r="Q12" s="5"/>
      <c r="R12" s="5"/>
      <c r="S12" s="6" t="n">
        <v>89495</v>
      </c>
      <c r="T12" s="6" t="n">
        <v>149544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62</v>
      </c>
      <c r="G13" s="5"/>
      <c r="H13" s="5"/>
      <c r="I13" s="6" t="n">
        <v>-210381</v>
      </c>
      <c r="J13" s="6" t="n">
        <v>50024</v>
      </c>
      <c r="K13" s="5" t="s">
        <v>63</v>
      </c>
      <c r="L13" s="5"/>
      <c r="M13" s="5"/>
      <c r="N13" s="6" t="n">
        <v>-238708</v>
      </c>
      <c r="O13" s="6" t="n">
        <v>66122</v>
      </c>
      <c r="P13" s="5" t="s">
        <v>64</v>
      </c>
      <c r="Q13" s="5"/>
      <c r="R13" s="5"/>
      <c r="S13" s="6" t="n">
        <v>-206254</v>
      </c>
      <c r="T13" s="6" t="n">
        <v>40038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67</v>
      </c>
      <c r="G14" s="5"/>
      <c r="H14" s="5"/>
      <c r="I14" s="6" t="n">
        <v>-166652</v>
      </c>
      <c r="J14" s="6" t="n">
        <v>163791</v>
      </c>
      <c r="K14" s="5" t="s">
        <v>66</v>
      </c>
      <c r="L14" s="5"/>
      <c r="M14" s="5"/>
      <c r="N14" s="6" t="n">
        <v>-2868</v>
      </c>
      <c r="O14" s="6" t="n">
        <v>0</v>
      </c>
      <c r="P14" s="5" t="s">
        <v>66</v>
      </c>
      <c r="Q14" s="5"/>
      <c r="R14" s="5"/>
      <c r="S14" s="6" t="n">
        <v>-2789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67</v>
      </c>
      <c r="G15" s="5"/>
      <c r="H15" s="5"/>
      <c r="I15" s="6" t="n">
        <v>0</v>
      </c>
      <c r="J15" s="6" t="n">
        <v>0</v>
      </c>
      <c r="K15" s="5" t="s">
        <v>67</v>
      </c>
      <c r="L15" s="5"/>
      <c r="M15" s="5"/>
      <c r="N15" s="6" t="n">
        <v>0</v>
      </c>
      <c r="O15" s="6" t="n">
        <v>0</v>
      </c>
      <c r="P15" s="5" t="s">
        <v>67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67</v>
      </c>
      <c r="G16" s="5"/>
      <c r="H16" s="5"/>
      <c r="I16" s="6" t="n">
        <v>11393</v>
      </c>
      <c r="J16" s="6" t="n">
        <v>-5303</v>
      </c>
      <c r="K16" s="5" t="s">
        <v>67</v>
      </c>
      <c r="L16" s="5"/>
      <c r="M16" s="5"/>
      <c r="N16" s="6" t="n">
        <v>12204</v>
      </c>
      <c r="O16" s="6" t="n">
        <v>-5680</v>
      </c>
      <c r="P16" s="5" t="s">
        <v>67</v>
      </c>
      <c r="Q16" s="5"/>
      <c r="R16" s="5"/>
      <c r="S16" s="6" t="n">
        <v>11866</v>
      </c>
      <c r="T16" s="6" t="n">
        <v>-5523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-14397</v>
      </c>
      <c r="J17" s="6" t="n">
        <v>667</v>
      </c>
      <c r="K17" s="5"/>
      <c r="L17" s="5"/>
      <c r="M17" s="5"/>
      <c r="N17" s="6" t="n">
        <v>-17791</v>
      </c>
      <c r="O17" s="6" t="n">
        <v>3070</v>
      </c>
      <c r="P17" s="5"/>
      <c r="Q17" s="5"/>
      <c r="R17" s="5"/>
      <c r="S17" s="6" t="n">
        <v>-20447</v>
      </c>
      <c r="T17" s="6" t="n">
        <v>6116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-42866</v>
      </c>
      <c r="J18" s="6" t="n">
        <v>68178</v>
      </c>
      <c r="K18" s="5"/>
      <c r="L18" s="5"/>
      <c r="M18" s="5"/>
      <c r="N18" s="6" t="n">
        <v>26861</v>
      </c>
      <c r="O18" s="6" t="n">
        <v>-505</v>
      </c>
      <c r="P18" s="5"/>
      <c r="Q18" s="5"/>
      <c r="R18" s="5"/>
      <c r="S18" s="6" t="n">
        <v>25988</v>
      </c>
      <c r="T18" s="6" t="n">
        <v>-361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39602</v>
      </c>
      <c r="J19" s="6" t="n">
        <v>-4840</v>
      </c>
      <c r="K19" s="5"/>
      <c r="L19" s="5"/>
      <c r="M19" s="5"/>
      <c r="N19" s="6" t="n">
        <v>43564</v>
      </c>
      <c r="O19" s="6" t="n">
        <v>-6346</v>
      </c>
      <c r="P19" s="5"/>
      <c r="Q19" s="5"/>
      <c r="R19" s="5"/>
      <c r="S19" s="6" t="n">
        <v>40126</v>
      </c>
      <c r="T19" s="6" t="n">
        <v>-3904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8.76</v>
      </c>
      <c r="G22" s="5"/>
      <c r="H22" s="5"/>
      <c r="I22" s="10" t="str">
        <f>518975-SUM(I23:I33)</f>
      </c>
      <c r="J22" s="10" t="str">
        <f>E22-I22</f>
      </c>
      <c r="K22" s="9" t="n">
        <v>7.83</v>
      </c>
      <c r="L22" s="5"/>
      <c r="M22" s="5"/>
      <c r="N22" s="10" t="str">
        <f>318825-SUM(N23:N33)</f>
      </c>
      <c r="O22" s="10" t="str">
        <f>E22-N22</f>
      </c>
      <c r="P22" s="9" t="n">
        <v>9.17</v>
      </c>
      <c r="Q22" s="5"/>
      <c r="R22" s="5"/>
      <c r="S22" s="10" t="str">
        <f>654752-SUM(S23:S33)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255876</v>
      </c>
      <c r="K34" s="5"/>
      <c r="L34" s="5"/>
      <c r="M34" s="5"/>
      <c r="N34" s="5"/>
      <c r="O34" s="6" t="n">
        <v>293079</v>
      </c>
      <c r="P34" s="5"/>
      <c r="Q34" s="5"/>
      <c r="R34" s="5"/>
      <c r="S34" s="5"/>
      <c r="T34" s="6" t="n">
        <v>27533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0.088</v>
      </c>
      <c r="K35" s="5"/>
      <c r="L35" s="5"/>
      <c r="M35" s="5"/>
      <c r="N35" s="5"/>
      <c r="O35" s="12" t="n">
        <v>0.102</v>
      </c>
      <c r="P35" s="5"/>
      <c r="Q35" s="5"/>
      <c r="R35" s="5"/>
      <c r="S35" s="5"/>
      <c r="T35" s="12" t="n">
        <v>0.009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0.116</v>
      </c>
      <c r="K36" s="5"/>
      <c r="L36" s="5"/>
      <c r="M36" s="5"/>
      <c r="N36" s="5"/>
      <c r="O36" s="12" t="n">
        <v>0.125</v>
      </c>
      <c r="P36" s="5"/>
      <c r="Q36" s="5"/>
      <c r="R36" s="5"/>
      <c r="S36" s="5"/>
      <c r="T36" s="12" t="n">
        <v>0.129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89</v>
      </c>
      <c r="G2" s="2"/>
      <c r="H2" s="2"/>
      <c r="I2" s="2"/>
      <c r="J2" s="2"/>
      <c r="K2" s="2" t="s">
        <v>90</v>
      </c>
      <c r="L2" s="2"/>
      <c r="M2" s="2"/>
      <c r="N2" s="2"/>
      <c r="O2" s="2"/>
      <c r="P2" s="2" t="s">
        <v>91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92</v>
      </c>
      <c r="G3" s="3"/>
      <c r="H3" s="3"/>
      <c r="I3" s="3"/>
      <c r="J3" s="3"/>
      <c r="K3" s="3" t="s">
        <v>93</v>
      </c>
      <c r="L3" s="3"/>
      <c r="M3" s="3"/>
      <c r="N3" s="3"/>
      <c r="O3" s="3"/>
      <c r="P3" s="3" t="s">
        <v>94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95</v>
      </c>
      <c r="G4" s="5" t="s">
        <v>96</v>
      </c>
      <c r="H4" s="5" t="n">
        <v>12</v>
      </c>
      <c r="I4" s="5" t="s">
        <v>97</v>
      </c>
      <c r="J4" s="5"/>
      <c r="K4" s="5" t="s">
        <v>98</v>
      </c>
      <c r="L4" s="5" t="s">
        <v>99</v>
      </c>
      <c r="M4" s="5" t="n">
        <v>31</v>
      </c>
      <c r="N4" s="5" t="s">
        <v>100</v>
      </c>
      <c r="O4" s="5"/>
      <c r="P4" s="5" t="s">
        <v>101</v>
      </c>
      <c r="Q4" s="5" t="s">
        <v>102</v>
      </c>
      <c r="R4" s="5" t="n">
        <v>10</v>
      </c>
      <c r="S4" s="5" t="s">
        <v>103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3003000</v>
      </c>
      <c r="G5" s="6" t="n">
        <v>0</v>
      </c>
      <c r="H5" s="6" t="str">
        <f>F5-G5</f>
      </c>
      <c r="I5" s="5"/>
      <c r="J5" s="5"/>
      <c r="K5" s="6" t="n">
        <v>3368000</v>
      </c>
      <c r="L5" s="6" t="n">
        <v>0</v>
      </c>
      <c r="M5" s="6" t="str">
        <f>K5-L5</f>
      </c>
      <c r="N5" s="5"/>
      <c r="O5" s="5"/>
      <c r="P5" s="6" t="n">
        <v>3153000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104</v>
      </c>
      <c r="G8" s="5" t="n">
        <v>342</v>
      </c>
      <c r="H8" s="5" t="n">
        <v>12</v>
      </c>
      <c r="I8" s="5"/>
      <c r="J8" s="5"/>
      <c r="K8" s="5" t="s">
        <v>105</v>
      </c>
      <c r="L8" s="5" t="n">
        <v>307</v>
      </c>
      <c r="M8" s="5" t="n">
        <v>31</v>
      </c>
      <c r="N8" s="5"/>
      <c r="O8" s="5"/>
      <c r="P8" s="5" t="s">
        <v>106</v>
      </c>
      <c r="Q8" s="5" t="n">
        <v>433</v>
      </c>
      <c r="R8" s="5" t="n">
        <v>10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107</v>
      </c>
      <c r="G9" s="5" t="s">
        <v>108</v>
      </c>
      <c r="H9" s="5" t="s">
        <v>44</v>
      </c>
      <c r="I9" s="7" t="n">
        <v>-3084558650775</v>
      </c>
      <c r="J9" s="8" t="n">
        <v>-302421623925</v>
      </c>
      <c r="K9" s="5" t="s">
        <v>109</v>
      </c>
      <c r="L9" s="5" t="s">
        <v>110</v>
      </c>
      <c r="M9" s="5" t="s">
        <v>37</v>
      </c>
      <c r="N9" s="7" t="n">
        <v>-3567351635267</v>
      </c>
      <c r="O9" s="8" t="n">
        <v>180371360567</v>
      </c>
      <c r="P9" s="5" t="s">
        <v>111</v>
      </c>
      <c r="Q9" s="5" t="s">
        <v>43</v>
      </c>
      <c r="R9" s="5" t="s">
        <v>44</v>
      </c>
      <c r="S9" s="7" t="n">
        <v>-3437453407903</v>
      </c>
      <c r="T9" s="8" t="n">
        <v>50473133203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112</v>
      </c>
      <c r="G10" s="5"/>
      <c r="H10" s="5"/>
      <c r="I10" s="7" t="n">
        <v>52701</v>
      </c>
      <c r="J10" s="8" t="n">
        <v>10545</v>
      </c>
      <c r="K10" s="5" t="s">
        <v>113</v>
      </c>
      <c r="L10" s="5"/>
      <c r="M10" s="5"/>
      <c r="N10" s="7" t="n">
        <v>72794</v>
      </c>
      <c r="O10" s="8" t="n">
        <v>-9548</v>
      </c>
      <c r="P10" s="5" t="s">
        <v>114</v>
      </c>
      <c r="Q10" s="5"/>
      <c r="R10" s="5"/>
      <c r="S10" s="7" t="n">
        <v>64096</v>
      </c>
      <c r="T10" s="8" t="n">
        <v>-850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54</v>
      </c>
      <c r="G11" s="5"/>
      <c r="H11" s="5"/>
      <c r="I11" s="7" t="n">
        <v>159703</v>
      </c>
      <c r="J11" s="8" t="n">
        <v>17201</v>
      </c>
      <c r="K11" s="5" t="s">
        <v>115</v>
      </c>
      <c r="L11" s="5"/>
      <c r="M11" s="5"/>
      <c r="N11" s="7" t="n">
        <v>208356</v>
      </c>
      <c r="O11" s="8" t="n">
        <v>-31452</v>
      </c>
      <c r="P11" s="5" t="s">
        <v>116</v>
      </c>
      <c r="Q11" s="5"/>
      <c r="R11" s="5"/>
      <c r="S11" s="7" t="n">
        <v>179303</v>
      </c>
      <c r="T11" s="8" t="n">
        <v>-2399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117</v>
      </c>
      <c r="G12" s="5"/>
      <c r="H12" s="5"/>
      <c r="I12" s="6" t="n">
        <v>120267</v>
      </c>
      <c r="J12" s="6" t="n">
        <v>108538</v>
      </c>
      <c r="K12" s="5" t="s">
        <v>118</v>
      </c>
      <c r="L12" s="5"/>
      <c r="M12" s="5"/>
      <c r="N12" s="6" t="n">
        <v>151871</v>
      </c>
      <c r="O12" s="6" t="n">
        <v>112201</v>
      </c>
      <c r="P12" s="5" t="s">
        <v>119</v>
      </c>
      <c r="Q12" s="5"/>
      <c r="R12" s="5"/>
      <c r="S12" s="6" t="n">
        <v>102775</v>
      </c>
      <c r="T12" s="6" t="n">
        <v>155416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120</v>
      </c>
      <c r="G13" s="5"/>
      <c r="H13" s="5"/>
      <c r="I13" s="6" t="n">
        <v>-317440</v>
      </c>
      <c r="J13" s="6" t="n">
        <v>148813</v>
      </c>
      <c r="K13" s="5" t="s">
        <v>121</v>
      </c>
      <c r="L13" s="5"/>
      <c r="M13" s="5"/>
      <c r="N13" s="6" t="n">
        <v>47374</v>
      </c>
      <c r="O13" s="6" t="n">
        <v>-217304</v>
      </c>
      <c r="P13" s="5" t="s">
        <v>122</v>
      </c>
      <c r="Q13" s="5"/>
      <c r="R13" s="5"/>
      <c r="S13" s="6" t="n">
        <v>18483</v>
      </c>
      <c r="T13" s="6" t="n">
        <v>-183527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66</v>
      </c>
      <c r="G14" s="5"/>
      <c r="H14" s="5"/>
      <c r="I14" s="6" t="n">
        <v>-2708</v>
      </c>
      <c r="J14" s="6" t="n">
        <v>0</v>
      </c>
      <c r="K14" s="5" t="s">
        <v>66</v>
      </c>
      <c r="L14" s="5"/>
      <c r="M14" s="5"/>
      <c r="N14" s="6" t="n">
        <v>-3140</v>
      </c>
      <c r="O14" s="6" t="n">
        <v>0</v>
      </c>
      <c r="P14" s="5" t="s">
        <v>66</v>
      </c>
      <c r="Q14" s="5"/>
      <c r="R14" s="5"/>
      <c r="S14" s="6" t="n">
        <v>-3019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67</v>
      </c>
      <c r="G15" s="5"/>
      <c r="H15" s="5"/>
      <c r="I15" s="6" t="n">
        <v>0</v>
      </c>
      <c r="J15" s="6" t="n">
        <v>0</v>
      </c>
      <c r="K15" s="5" t="s">
        <v>67</v>
      </c>
      <c r="L15" s="5"/>
      <c r="M15" s="5"/>
      <c r="N15" s="6" t="n">
        <v>0</v>
      </c>
      <c r="O15" s="6" t="n">
        <v>0</v>
      </c>
      <c r="P15" s="5" t="s">
        <v>67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67</v>
      </c>
      <c r="G16" s="5"/>
      <c r="H16" s="5"/>
      <c r="I16" s="6" t="n">
        <v>11523</v>
      </c>
      <c r="J16" s="6" t="n">
        <v>-5363</v>
      </c>
      <c r="K16" s="5" t="s">
        <v>70</v>
      </c>
      <c r="L16" s="5"/>
      <c r="M16" s="5"/>
      <c r="N16" s="6" t="n">
        <v>7158</v>
      </c>
      <c r="O16" s="6" t="n">
        <v>0</v>
      </c>
      <c r="P16" s="5" t="s">
        <v>67</v>
      </c>
      <c r="Q16" s="5"/>
      <c r="R16" s="5"/>
      <c r="S16" s="6" t="n">
        <v>12846</v>
      </c>
      <c r="T16" s="6" t="n">
        <v>-5979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-20134</v>
      </c>
      <c r="J17" s="6" t="n">
        <v>6216</v>
      </c>
      <c r="K17" s="5"/>
      <c r="L17" s="5"/>
      <c r="M17" s="5"/>
      <c r="N17" s="6" t="n">
        <v>-16318</v>
      </c>
      <c r="O17" s="6" t="n">
        <v>219</v>
      </c>
      <c r="P17" s="5"/>
      <c r="Q17" s="5"/>
      <c r="R17" s="5"/>
      <c r="S17" s="6" t="n">
        <v>-16801</v>
      </c>
      <c r="T17" s="6" t="n">
        <v>1317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25346</v>
      </c>
      <c r="J18" s="6" t="n">
        <v>-461</v>
      </c>
      <c r="K18" s="5"/>
      <c r="L18" s="5"/>
      <c r="M18" s="5"/>
      <c r="N18" s="6" t="n">
        <v>23303</v>
      </c>
      <c r="O18" s="6" t="n">
        <v>5615</v>
      </c>
      <c r="P18" s="5"/>
      <c r="Q18" s="5"/>
      <c r="R18" s="5"/>
      <c r="S18" s="6" t="n">
        <v>23429</v>
      </c>
      <c r="T18" s="6" t="n">
        <v>4363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48546</v>
      </c>
      <c r="J19" s="6" t="n">
        <v>-13514</v>
      </c>
      <c r="K19" s="5"/>
      <c r="L19" s="5"/>
      <c r="M19" s="5"/>
      <c r="N19" s="6" t="n">
        <v>15912</v>
      </c>
      <c r="O19" s="6" t="n">
        <v>25305</v>
      </c>
      <c r="P19" s="5"/>
      <c r="Q19" s="5"/>
      <c r="R19" s="5"/>
      <c r="S19" s="6" t="n">
        <v>18630</v>
      </c>
      <c r="T19" s="6" t="n">
        <v>20949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8.96</v>
      </c>
      <c r="G22" s="5"/>
      <c r="H22" s="5"/>
      <c r="I22" s="10" t="str">
        <f>583817-SUM(I23:I33)</f>
      </c>
      <c r="J22" s="10" t="str">
        <f>E22-I22</f>
      </c>
      <c r="K22" s="9" t="n">
        <v>8.9</v>
      </c>
      <c r="L22" s="5"/>
      <c r="M22" s="5"/>
      <c r="N22" s="10" t="str">
        <f>562861-SUM(N23:N33)</f>
      </c>
      <c r="O22" s="10" t="str">
        <f>E22-N22</f>
      </c>
      <c r="P22" s="9" t="n">
        <v>8.53</v>
      </c>
      <c r="Q22" s="5"/>
      <c r="R22" s="5"/>
      <c r="S22" s="10" t="str">
        <f>456041-SUM(S23:S33)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166724</v>
      </c>
      <c r="K34" s="5"/>
      <c r="L34" s="5"/>
      <c r="M34" s="5"/>
      <c r="N34" s="5"/>
      <c r="O34" s="6" t="n">
        <v>-185861</v>
      </c>
      <c r="P34" s="5"/>
      <c r="Q34" s="5"/>
      <c r="R34" s="5"/>
      <c r="S34" s="5"/>
      <c r="T34" s="6" t="n">
        <v>32338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0.056</v>
      </c>
      <c r="K35" s="5"/>
      <c r="L35" s="5"/>
      <c r="M35" s="5"/>
      <c r="N35" s="5"/>
      <c r="O35" s="12" t="n">
        <v>-0.055</v>
      </c>
      <c r="P35" s="5"/>
      <c r="Q35" s="5"/>
      <c r="R35" s="5"/>
      <c r="S35" s="5"/>
      <c r="T35" s="12" t="n">
        <v>0.01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0.136</v>
      </c>
      <c r="K36" s="5"/>
      <c r="L36" s="5"/>
      <c r="M36" s="5"/>
      <c r="N36" s="5"/>
      <c r="O36" s="12" t="n">
        <v>0.141</v>
      </c>
      <c r="P36" s="5"/>
      <c r="Q36" s="5"/>
      <c r="R36" s="5"/>
      <c r="S36" s="5"/>
      <c r="T36" s="12" t="n">
        <v>0.152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124</v>
      </c>
      <c r="G2" s="2"/>
      <c r="H2" s="2"/>
      <c r="I2" s="2"/>
      <c r="J2" s="2"/>
      <c r="K2" s="2" t="s">
        <v>125</v>
      </c>
      <c r="L2" s="2"/>
      <c r="M2" s="2"/>
      <c r="N2" s="2"/>
      <c r="O2" s="2"/>
      <c r="P2" s="2" t="s">
        <v>126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127</v>
      </c>
      <c r="G3" s="3"/>
      <c r="H3" s="3"/>
      <c r="I3" s="3"/>
      <c r="J3" s="3"/>
      <c r="K3" s="3" t="s">
        <v>128</v>
      </c>
      <c r="L3" s="3"/>
      <c r="M3" s="3"/>
      <c r="N3" s="3"/>
      <c r="O3" s="3"/>
      <c r="P3" s="3" t="s">
        <v>129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130</v>
      </c>
      <c r="G4" s="5" t="s">
        <v>131</v>
      </c>
      <c r="H4" s="5" t="n">
        <v>28</v>
      </c>
      <c r="I4" s="5" t="s">
        <v>132</v>
      </c>
      <c r="J4" s="5"/>
      <c r="K4" s="5" t="s">
        <v>133</v>
      </c>
      <c r="L4" s="5" t="s">
        <v>134</v>
      </c>
      <c r="M4" s="5" t="n">
        <v>13</v>
      </c>
      <c r="N4" s="5" t="s">
        <v>97</v>
      </c>
      <c r="O4" s="5"/>
      <c r="P4" s="5" t="s">
        <v>135</v>
      </c>
      <c r="Q4" s="5" t="s">
        <v>136</v>
      </c>
      <c r="R4" s="5" t="n">
        <v>30</v>
      </c>
      <c r="S4" s="5" t="s">
        <v>137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2924000</v>
      </c>
      <c r="G5" s="6" t="n">
        <v>0</v>
      </c>
      <c r="H5" s="6" t="str">
        <f>F5-G5</f>
      </c>
      <c r="I5" s="5"/>
      <c r="J5" s="5"/>
      <c r="K5" s="6" t="n">
        <v>2821000</v>
      </c>
      <c r="L5" s="6" t="n">
        <v>0</v>
      </c>
      <c r="M5" s="6" t="str">
        <f>K5-L5</f>
      </c>
      <c r="N5" s="5"/>
      <c r="O5" s="5"/>
      <c r="P5" s="6" t="n">
        <v>2737000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138</v>
      </c>
      <c r="G8" s="5" t="n">
        <v>506</v>
      </c>
      <c r="H8" s="5" t="n">
        <v>28</v>
      </c>
      <c r="I8" s="5"/>
      <c r="J8" s="5"/>
      <c r="K8" s="5" t="s">
        <v>139</v>
      </c>
      <c r="L8" s="5" t="n">
        <v>1314</v>
      </c>
      <c r="M8" s="5" t="n">
        <v>13</v>
      </c>
      <c r="N8" s="5"/>
      <c r="O8" s="5"/>
      <c r="P8" s="5" t="s">
        <v>140</v>
      </c>
      <c r="Q8" s="5" t="n">
        <v>1006</v>
      </c>
      <c r="R8" s="5" t="n">
        <v>30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141</v>
      </c>
      <c r="G9" s="5" t="s">
        <v>142</v>
      </c>
      <c r="H9" s="5" t="s">
        <v>143</v>
      </c>
      <c r="I9" s="7" t="n">
        <v>-3248569850804</v>
      </c>
      <c r="J9" s="8" t="n">
        <v>-138410423896</v>
      </c>
      <c r="K9" s="5" t="s">
        <v>144</v>
      </c>
      <c r="L9" s="5" t="s">
        <v>145</v>
      </c>
      <c r="M9" s="5" t="s">
        <v>146</v>
      </c>
      <c r="N9" s="7" t="n">
        <v>-3048975069984</v>
      </c>
      <c r="O9" s="8" t="n">
        <v>-338005204716</v>
      </c>
      <c r="P9" s="5" t="s">
        <v>147</v>
      </c>
      <c r="Q9" s="5" t="s">
        <v>39</v>
      </c>
      <c r="R9" s="5" t="s">
        <v>148</v>
      </c>
      <c r="S9" s="7" t="n">
        <v>-3007836009749</v>
      </c>
      <c r="T9" s="8" t="n">
        <v>-379144264951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149</v>
      </c>
      <c r="G10" s="5"/>
      <c r="H10" s="5"/>
      <c r="I10" s="7" t="n">
        <v>58143</v>
      </c>
      <c r="J10" s="8" t="n">
        <v>5103</v>
      </c>
      <c r="K10" s="5" t="s">
        <v>150</v>
      </c>
      <c r="L10" s="5"/>
      <c r="M10" s="5"/>
      <c r="N10" s="7" t="n">
        <v>48289</v>
      </c>
      <c r="O10" s="8" t="n">
        <v>14957</v>
      </c>
      <c r="P10" s="5" t="s">
        <v>151</v>
      </c>
      <c r="Q10" s="5"/>
      <c r="R10" s="5"/>
      <c r="S10" s="7" t="n">
        <v>50780</v>
      </c>
      <c r="T10" s="8" t="n">
        <v>12466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152</v>
      </c>
      <c r="G11" s="5"/>
      <c r="H11" s="5"/>
      <c r="I11" s="7" t="n">
        <v>256511</v>
      </c>
      <c r="J11" s="8" t="n">
        <v>-79607</v>
      </c>
      <c r="K11" s="5" t="s">
        <v>153</v>
      </c>
      <c r="L11" s="5"/>
      <c r="M11" s="5"/>
      <c r="N11" s="7" t="n">
        <v>165532</v>
      </c>
      <c r="O11" s="8" t="n">
        <v>11372</v>
      </c>
      <c r="P11" s="5" t="s">
        <v>154</v>
      </c>
      <c r="Q11" s="5"/>
      <c r="R11" s="5"/>
      <c r="S11" s="7" t="n">
        <v>149482</v>
      </c>
      <c r="T11" s="8" t="n">
        <v>27422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155</v>
      </c>
      <c r="G12" s="5"/>
      <c r="H12" s="5"/>
      <c r="I12" s="6" t="n">
        <v>73273</v>
      </c>
      <c r="J12" s="6" t="n">
        <v>173578</v>
      </c>
      <c r="K12" s="5" t="s">
        <v>156</v>
      </c>
      <c r="L12" s="5"/>
      <c r="M12" s="5"/>
      <c r="N12" s="6" t="n">
        <v>177962</v>
      </c>
      <c r="O12" s="6" t="n">
        <v>42057</v>
      </c>
      <c r="P12" s="5" t="s">
        <v>157</v>
      </c>
      <c r="Q12" s="5"/>
      <c r="R12" s="5"/>
      <c r="S12" s="6" t="n">
        <v>41754</v>
      </c>
      <c r="T12" s="6" t="n">
        <v>189313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158</v>
      </c>
      <c r="G13" s="5"/>
      <c r="H13" s="5"/>
      <c r="I13" s="6" t="n">
        <v>-180369</v>
      </c>
      <c r="J13" s="6" t="n">
        <v>11910</v>
      </c>
      <c r="K13" s="5" t="s">
        <v>159</v>
      </c>
      <c r="L13" s="5"/>
      <c r="M13" s="5"/>
      <c r="N13" s="6" t="n">
        <v>-410653</v>
      </c>
      <c r="O13" s="6" t="n">
        <v>238167</v>
      </c>
      <c r="P13" s="5" t="s">
        <v>160</v>
      </c>
      <c r="Q13" s="5"/>
      <c r="R13" s="5"/>
      <c r="S13" s="6" t="n">
        <v>-164580</v>
      </c>
      <c r="T13" s="6" t="n">
        <v>8809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66</v>
      </c>
      <c r="G14" s="5"/>
      <c r="H14" s="5"/>
      <c r="I14" s="6" t="n">
        <v>-2858</v>
      </c>
      <c r="J14" s="6" t="n">
        <v>0</v>
      </c>
      <c r="K14" s="5" t="s">
        <v>66</v>
      </c>
      <c r="L14" s="5"/>
      <c r="M14" s="5"/>
      <c r="N14" s="6" t="n">
        <v>-2674</v>
      </c>
      <c r="O14" s="6" t="n">
        <v>0</v>
      </c>
      <c r="P14" s="5" t="s">
        <v>66</v>
      </c>
      <c r="Q14" s="5"/>
      <c r="R14" s="5"/>
      <c r="S14" s="6" t="n">
        <v>-2646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67</v>
      </c>
      <c r="G15" s="5"/>
      <c r="H15" s="5"/>
      <c r="I15" s="6" t="n">
        <v>0</v>
      </c>
      <c r="J15" s="6" t="n">
        <v>0</v>
      </c>
      <c r="K15" s="5" t="s">
        <v>67</v>
      </c>
      <c r="L15" s="5"/>
      <c r="M15" s="5"/>
      <c r="N15" s="6" t="n">
        <v>0</v>
      </c>
      <c r="O15" s="6" t="n">
        <v>0</v>
      </c>
      <c r="P15" s="5" t="s">
        <v>161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70</v>
      </c>
      <c r="G16" s="5"/>
      <c r="H16" s="5"/>
      <c r="I16" s="6" t="n">
        <v>6516</v>
      </c>
      <c r="J16" s="6" t="n">
        <v>0</v>
      </c>
      <c r="K16" s="5" t="s">
        <v>67</v>
      </c>
      <c r="L16" s="5"/>
      <c r="M16" s="5"/>
      <c r="N16" s="6" t="n">
        <v>11377</v>
      </c>
      <c r="O16" s="6" t="n">
        <v>-5296</v>
      </c>
      <c r="P16" s="5" t="s">
        <v>70</v>
      </c>
      <c r="Q16" s="5"/>
      <c r="R16" s="5"/>
      <c r="S16" s="6" t="n">
        <v>6031</v>
      </c>
      <c r="T16" s="6" t="n">
        <v>0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-21079</v>
      </c>
      <c r="J17" s="6" t="n">
        <v>6389</v>
      </c>
      <c r="K17" s="5"/>
      <c r="L17" s="5"/>
      <c r="M17" s="5"/>
      <c r="N17" s="6" t="n">
        <v>-32335</v>
      </c>
      <c r="O17" s="6" t="n">
        <v>18521</v>
      </c>
      <c r="P17" s="5"/>
      <c r="Q17" s="5"/>
      <c r="R17" s="5"/>
      <c r="S17" s="6" t="n">
        <v>-12559</v>
      </c>
      <c r="T17" s="6" t="n">
        <v>-998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26397</v>
      </c>
      <c r="J18" s="6" t="n">
        <v>-127</v>
      </c>
      <c r="K18" s="5"/>
      <c r="L18" s="5"/>
      <c r="M18" s="5"/>
      <c r="N18" s="6" t="n">
        <v>24322</v>
      </c>
      <c r="O18" s="6" t="n">
        <v>256</v>
      </c>
      <c r="P18" s="5"/>
      <c r="Q18" s="5"/>
      <c r="R18" s="5"/>
      <c r="S18" s="6" t="n">
        <v>24410</v>
      </c>
      <c r="T18" s="6" t="n">
        <v>-95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38352</v>
      </c>
      <c r="J19" s="6" t="n">
        <v>-1184</v>
      </c>
      <c r="K19" s="5"/>
      <c r="L19" s="5"/>
      <c r="M19" s="5"/>
      <c r="N19" s="6" t="n">
        <v>54982</v>
      </c>
      <c r="O19" s="6" t="n">
        <v>-20498</v>
      </c>
      <c r="P19" s="5"/>
      <c r="Q19" s="5"/>
      <c r="R19" s="5"/>
      <c r="S19" s="6" t="n">
        <v>-5747</v>
      </c>
      <c r="T19" s="6" t="n">
        <v>40757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8.1</v>
      </c>
      <c r="G22" s="5"/>
      <c r="H22" s="5"/>
      <c r="I22" s="10" t="str">
        <f>370482-SUM(I23:I33)</f>
      </c>
      <c r="J22" s="10" t="str">
        <f>E22-I22</f>
      </c>
      <c r="K22" s="9" t="n">
        <v>8.44</v>
      </c>
      <c r="L22" s="5"/>
      <c r="M22" s="5"/>
      <c r="N22" s="10" t="str">
        <f>432397-SUM(N23:N33)</f>
      </c>
      <c r="O22" s="10" t="str">
        <f>E22-N22</f>
      </c>
      <c r="P22" s="9" t="n">
        <v>8.12</v>
      </c>
      <c r="Q22" s="5"/>
      <c r="R22" s="5"/>
      <c r="S22" s="10" t="str">
        <f>373591-SUM(S23:S33)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255491</v>
      </c>
      <c r="K34" s="5"/>
      <c r="L34" s="5"/>
      <c r="M34" s="5"/>
      <c r="N34" s="5"/>
      <c r="O34" s="6" t="n">
        <v>350375</v>
      </c>
      <c r="P34" s="5"/>
      <c r="Q34" s="5"/>
      <c r="R34" s="5"/>
      <c r="S34" s="5"/>
      <c r="T34" s="6" t="n">
        <v>427708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0.087</v>
      </c>
      <c r="K35" s="5"/>
      <c r="L35" s="5"/>
      <c r="M35" s="5"/>
      <c r="N35" s="5"/>
      <c r="O35" s="12" t="n">
        <v>0.124</v>
      </c>
      <c r="P35" s="5"/>
      <c r="Q35" s="5"/>
      <c r="R35" s="5"/>
      <c r="S35" s="5"/>
      <c r="T35" s="12" t="n">
        <v>0.156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0.154</v>
      </c>
      <c r="K36" s="5"/>
      <c r="L36" s="5"/>
      <c r="M36" s="5"/>
      <c r="N36" s="5"/>
      <c r="O36" s="12" t="n">
        <v>0.162</v>
      </c>
      <c r="P36" s="5"/>
      <c r="Q36" s="5"/>
      <c r="R36" s="5"/>
      <c r="S36" s="5"/>
      <c r="T36" s="12" t="n">
        <v>0.163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163</v>
      </c>
      <c r="G2" s="2"/>
      <c r="H2" s="2"/>
      <c r="I2" s="2"/>
      <c r="J2" s="2"/>
      <c r="K2" s="2" t="s">
        <v>164</v>
      </c>
      <c r="L2" s="2"/>
      <c r="M2" s="2"/>
      <c r="N2" s="2"/>
      <c r="O2" s="2"/>
      <c r="P2" s="2" t="s">
        <v>165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166</v>
      </c>
      <c r="G3" s="3"/>
      <c r="H3" s="3"/>
      <c r="I3" s="3"/>
      <c r="J3" s="3"/>
      <c r="K3" s="3" t="s">
        <v>167</v>
      </c>
      <c r="L3" s="3"/>
      <c r="M3" s="3"/>
      <c r="N3" s="3"/>
      <c r="O3" s="3"/>
      <c r="P3" s="3" t="s">
        <v>168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169</v>
      </c>
      <c r="G4" s="5" t="s">
        <v>170</v>
      </c>
      <c r="H4" s="5" t="n">
        <v>37</v>
      </c>
      <c r="I4" s="5" t="s">
        <v>97</v>
      </c>
      <c r="J4" s="5"/>
      <c r="K4" s="5" t="s">
        <v>171</v>
      </c>
      <c r="L4" s="5" t="s">
        <v>172</v>
      </c>
      <c r="M4" s="5" t="n">
        <v>21</v>
      </c>
      <c r="N4" s="5" t="s">
        <v>173</v>
      </c>
      <c r="O4" s="5"/>
      <c r="P4" s="5" t="s">
        <v>174</v>
      </c>
      <c r="Q4" s="5" t="s">
        <v>175</v>
      </c>
      <c r="R4" s="5" t="n">
        <v>37</v>
      </c>
      <c r="S4" s="5" t="s">
        <v>176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2829000</v>
      </c>
      <c r="G5" s="6" t="n">
        <v>0</v>
      </c>
      <c r="H5" s="6" t="str">
        <f>F5-G5</f>
      </c>
      <c r="I5" s="5"/>
      <c r="J5" s="5"/>
      <c r="K5" s="6" t="n">
        <v>3284000</v>
      </c>
      <c r="L5" s="6" t="n">
        <v>0</v>
      </c>
      <c r="M5" s="6" t="str">
        <f>K5-L5</f>
      </c>
      <c r="N5" s="5"/>
      <c r="O5" s="5"/>
      <c r="P5" s="6" t="n">
        <v>3331000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177</v>
      </c>
      <c r="G8" s="5" t="n">
        <v>1358</v>
      </c>
      <c r="H8" s="5" t="n">
        <v>37</v>
      </c>
      <c r="I8" s="5"/>
      <c r="J8" s="5"/>
      <c r="K8" s="5" t="s">
        <v>178</v>
      </c>
      <c r="L8" s="5" t="n">
        <v>191</v>
      </c>
      <c r="M8" s="5" t="n">
        <v>21</v>
      </c>
      <c r="N8" s="5"/>
      <c r="O8" s="5"/>
      <c r="P8" s="5" t="s">
        <v>179</v>
      </c>
      <c r="Q8" s="5" t="n">
        <v>524</v>
      </c>
      <c r="R8" s="5" t="n">
        <v>37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109</v>
      </c>
      <c r="G9" s="5" t="s">
        <v>180</v>
      </c>
      <c r="H9" s="5" t="s">
        <v>44</v>
      </c>
      <c r="I9" s="7" t="n">
        <v>-3385918484550</v>
      </c>
      <c r="J9" s="8" t="n">
        <v>-1061790150</v>
      </c>
      <c r="K9" s="5" t="s">
        <v>181</v>
      </c>
      <c r="L9" s="5" t="s">
        <v>182</v>
      </c>
      <c r="M9" s="5" t="s">
        <v>183</v>
      </c>
      <c r="N9" s="7" t="n">
        <v>-3451617692681</v>
      </c>
      <c r="O9" s="8" t="n">
        <v>64637417981</v>
      </c>
      <c r="P9" s="5" t="s">
        <v>184</v>
      </c>
      <c r="Q9" s="5" t="s">
        <v>182</v>
      </c>
      <c r="R9" s="5" t="s">
        <v>37</v>
      </c>
      <c r="S9" s="7" t="n">
        <v>-3431770577503</v>
      </c>
      <c r="T9" s="8" t="n">
        <v>44790302803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185</v>
      </c>
      <c r="G10" s="5"/>
      <c r="H10" s="5"/>
      <c r="I10" s="7" t="n">
        <v>58130</v>
      </c>
      <c r="J10" s="8" t="n">
        <v>5116</v>
      </c>
      <c r="K10" s="5" t="s">
        <v>186</v>
      </c>
      <c r="L10" s="5"/>
      <c r="M10" s="5"/>
      <c r="N10" s="7" t="n">
        <v>52397</v>
      </c>
      <c r="O10" s="8" t="n">
        <v>10849</v>
      </c>
      <c r="P10" s="5" t="s">
        <v>187</v>
      </c>
      <c r="Q10" s="5"/>
      <c r="R10" s="5"/>
      <c r="S10" s="7" t="n">
        <v>63829</v>
      </c>
      <c r="T10" s="8" t="n">
        <v>-583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154</v>
      </c>
      <c r="G11" s="5"/>
      <c r="H11" s="5"/>
      <c r="I11" s="7" t="n">
        <v>167896</v>
      </c>
      <c r="J11" s="8" t="n">
        <v>9008</v>
      </c>
      <c r="K11" s="5" t="s">
        <v>188</v>
      </c>
      <c r="L11" s="5"/>
      <c r="M11" s="5"/>
      <c r="N11" s="7" t="n">
        <v>181700</v>
      </c>
      <c r="O11" s="8" t="n">
        <v>-4796</v>
      </c>
      <c r="P11" s="5" t="s">
        <v>115</v>
      </c>
      <c r="Q11" s="5"/>
      <c r="R11" s="5"/>
      <c r="S11" s="7" t="n">
        <v>200214</v>
      </c>
      <c r="T11" s="8" t="n">
        <v>-23310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189</v>
      </c>
      <c r="G12" s="5"/>
      <c r="H12" s="5"/>
      <c r="I12" s="6" t="n">
        <v>207165</v>
      </c>
      <c r="J12" s="6" t="n">
        <v>36416</v>
      </c>
      <c r="K12" s="5" t="s">
        <v>190</v>
      </c>
      <c r="L12" s="5"/>
      <c r="M12" s="5"/>
      <c r="N12" s="6" t="n">
        <v>186155</v>
      </c>
      <c r="O12" s="6" t="n">
        <v>65145</v>
      </c>
      <c r="P12" s="5" t="s">
        <v>191</v>
      </c>
      <c r="Q12" s="5"/>
      <c r="R12" s="5"/>
      <c r="S12" s="6" t="n">
        <v>71054</v>
      </c>
      <c r="T12" s="6" t="n">
        <v>190151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192</v>
      </c>
      <c r="G13" s="5"/>
      <c r="H13" s="5"/>
      <c r="I13" s="6" t="n">
        <v>-140692</v>
      </c>
      <c r="J13" s="6" t="n">
        <v>-31546</v>
      </c>
      <c r="K13" s="5" t="s">
        <v>193</v>
      </c>
      <c r="L13" s="5"/>
      <c r="M13" s="5"/>
      <c r="N13" s="6" t="n">
        <v>-32584</v>
      </c>
      <c r="O13" s="6" t="n">
        <v>-136478</v>
      </c>
      <c r="P13" s="5" t="s">
        <v>194</v>
      </c>
      <c r="Q13" s="5"/>
      <c r="R13" s="5"/>
      <c r="S13" s="6" t="n">
        <v>29395</v>
      </c>
      <c r="T13" s="6" t="n">
        <v>-193678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66</v>
      </c>
      <c r="G14" s="5"/>
      <c r="H14" s="5"/>
      <c r="I14" s="6" t="n">
        <v>-2972</v>
      </c>
      <c r="J14" s="6" t="n">
        <v>0</v>
      </c>
      <c r="K14" s="5" t="s">
        <v>195</v>
      </c>
      <c r="L14" s="5"/>
      <c r="M14" s="5"/>
      <c r="N14" s="6" t="n">
        <v>116121</v>
      </c>
      <c r="O14" s="6" t="n">
        <v>-119022</v>
      </c>
      <c r="P14" s="5" t="s">
        <v>66</v>
      </c>
      <c r="Q14" s="5"/>
      <c r="R14" s="5"/>
      <c r="S14" s="6" t="n">
        <v>-3017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67</v>
      </c>
      <c r="G15" s="5"/>
      <c r="H15" s="5"/>
      <c r="I15" s="6" t="n">
        <v>0</v>
      </c>
      <c r="J15" s="6" t="n">
        <v>0</v>
      </c>
      <c r="K15" s="5" t="s">
        <v>161</v>
      </c>
      <c r="L15" s="5"/>
      <c r="M15" s="5"/>
      <c r="N15" s="6" t="n">
        <v>0</v>
      </c>
      <c r="O15" s="6" t="n">
        <v>0</v>
      </c>
      <c r="P15" s="5" t="s">
        <v>67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70</v>
      </c>
      <c r="G16" s="5"/>
      <c r="H16" s="5"/>
      <c r="I16" s="6" t="n">
        <v>6774</v>
      </c>
      <c r="J16" s="6" t="n">
        <v>0</v>
      </c>
      <c r="K16" s="5" t="s">
        <v>67</v>
      </c>
      <c r="L16" s="5"/>
      <c r="M16" s="5"/>
      <c r="N16" s="6" t="n">
        <v>12913</v>
      </c>
      <c r="O16" s="6" t="n">
        <v>-6011</v>
      </c>
      <c r="P16" s="5" t="s">
        <v>67</v>
      </c>
      <c r="Q16" s="5"/>
      <c r="R16" s="5"/>
      <c r="S16" s="6" t="n">
        <v>12839</v>
      </c>
      <c r="T16" s="6" t="n">
        <v>-5976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-10449</v>
      </c>
      <c r="J17" s="6" t="n">
        <v>-4757</v>
      </c>
      <c r="K17" s="5"/>
      <c r="L17" s="5"/>
      <c r="M17" s="5"/>
      <c r="N17" s="6" t="n">
        <v>-16338</v>
      </c>
      <c r="O17" s="6" t="n">
        <v>775</v>
      </c>
      <c r="P17" s="5"/>
      <c r="Q17" s="5"/>
      <c r="R17" s="5"/>
      <c r="S17" s="6" t="n">
        <v>-16915</v>
      </c>
      <c r="T17" s="6" t="n">
        <v>1438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26896</v>
      </c>
      <c r="J18" s="6" t="n">
        <v>419</v>
      </c>
      <c r="K18" s="5"/>
      <c r="L18" s="5"/>
      <c r="M18" s="5"/>
      <c r="N18" s="6" t="n">
        <v>-10914</v>
      </c>
      <c r="O18" s="6" t="n">
        <v>39210</v>
      </c>
      <c r="P18" s="5"/>
      <c r="Q18" s="5"/>
      <c r="R18" s="5"/>
      <c r="S18" s="6" t="n">
        <v>23018</v>
      </c>
      <c r="T18" s="6" t="n">
        <v>4764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35474</v>
      </c>
      <c r="J19" s="6" t="n">
        <v>3229</v>
      </c>
      <c r="K19" s="5"/>
      <c r="L19" s="5"/>
      <c r="M19" s="5"/>
      <c r="N19" s="6" t="n">
        <v>-4988</v>
      </c>
      <c r="O19" s="6" t="n">
        <v>45125</v>
      </c>
      <c r="P19" s="5"/>
      <c r="Q19" s="5"/>
      <c r="R19" s="5"/>
      <c r="S19" s="6" t="n">
        <v>17292</v>
      </c>
      <c r="T19" s="6" t="n">
        <v>22285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6.76</v>
      </c>
      <c r="G22" s="5"/>
      <c r="H22" s="5"/>
      <c r="I22" s="10" t="str">
        <f>174454-SUM(I23:I33)</f>
      </c>
      <c r="J22" s="10" t="str">
        <f>E22-I22</f>
      </c>
      <c r="K22" s="9" t="n">
        <v>8.94</v>
      </c>
      <c r="L22" s="5"/>
      <c r="M22" s="5"/>
      <c r="N22" s="10" t="str">
        <f>572899-SUM(N23:N33)</f>
      </c>
      <c r="O22" s="10" t="str">
        <f>E22-N22</f>
      </c>
      <c r="P22" s="9" t="n">
        <v>9.13</v>
      </c>
      <c r="Q22" s="5"/>
      <c r="R22" s="5"/>
      <c r="S22" s="10" t="str">
        <f>635488-SUM(S23:S33)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345986</v>
      </c>
      <c r="K34" s="5"/>
      <c r="L34" s="5"/>
      <c r="M34" s="5"/>
      <c r="N34" s="5"/>
      <c r="O34" s="6" t="n">
        <v>-101424</v>
      </c>
      <c r="P34" s="5"/>
      <c r="Q34" s="5"/>
      <c r="R34" s="5"/>
      <c r="S34" s="5"/>
      <c r="T34" s="6" t="n">
        <v>-142859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0.122</v>
      </c>
      <c r="K35" s="5"/>
      <c r="L35" s="5"/>
      <c r="M35" s="5"/>
      <c r="N35" s="5"/>
      <c r="O35" s="12" t="n">
        <v>-0.031</v>
      </c>
      <c r="P35" s="5"/>
      <c r="Q35" s="5"/>
      <c r="R35" s="5"/>
      <c r="S35" s="5"/>
      <c r="T35" s="12" t="n">
        <v>-0.043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0.168</v>
      </c>
      <c r="K36" s="5"/>
      <c r="L36" s="5"/>
      <c r="M36" s="5"/>
      <c r="N36" s="5"/>
      <c r="O36" s="12" t="n">
        <v>0.175</v>
      </c>
      <c r="P36" s="5"/>
      <c r="Q36" s="5"/>
      <c r="R36" s="5"/>
      <c r="S36" s="5"/>
      <c r="T36" s="12" t="n">
        <v>0.177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197</v>
      </c>
      <c r="G2" s="2"/>
      <c r="H2" s="2"/>
      <c r="I2" s="2"/>
      <c r="J2" s="2"/>
      <c r="K2" s="2" t="s">
        <v>198</v>
      </c>
      <c r="L2" s="2"/>
      <c r="M2" s="2"/>
      <c r="N2" s="2"/>
      <c r="O2" s="2"/>
      <c r="P2" s="2" t="s">
        <v>199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200</v>
      </c>
      <c r="G3" s="3"/>
      <c r="H3" s="3"/>
      <c r="I3" s="3"/>
      <c r="J3" s="3"/>
      <c r="K3" s="3" t="s">
        <v>201</v>
      </c>
      <c r="L3" s="3"/>
      <c r="M3" s="3"/>
      <c r="N3" s="3"/>
      <c r="O3" s="3"/>
      <c r="P3" s="3" t="s">
        <v>202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203</v>
      </c>
      <c r="G4" s="5" t="s">
        <v>204</v>
      </c>
      <c r="H4" s="5" t="n">
        <v>28</v>
      </c>
      <c r="I4" s="5" t="s">
        <v>205</v>
      </c>
      <c r="J4" s="5"/>
      <c r="K4" s="5" t="s">
        <v>206</v>
      </c>
      <c r="L4" s="5" t="s">
        <v>207</v>
      </c>
      <c r="M4" s="5" t="n">
        <v>22</v>
      </c>
      <c r="N4" s="5" t="s">
        <v>208</v>
      </c>
      <c r="O4" s="5"/>
      <c r="P4" s="5" t="s">
        <v>209</v>
      </c>
      <c r="Q4" s="5" t="s">
        <v>210</v>
      </c>
      <c r="R4" s="5" t="n">
        <v>3</v>
      </c>
      <c r="S4" s="5" t="s">
        <v>211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2896000</v>
      </c>
      <c r="G5" s="6" t="n">
        <v>0</v>
      </c>
      <c r="H5" s="6" t="str">
        <f>F5-G5</f>
      </c>
      <c r="I5" s="5"/>
      <c r="J5" s="5"/>
      <c r="K5" s="6" t="n">
        <v>2808000</v>
      </c>
      <c r="L5" s="6" t="n">
        <v>0</v>
      </c>
      <c r="M5" s="6" t="str">
        <f>K5-L5</f>
      </c>
      <c r="N5" s="5"/>
      <c r="O5" s="5"/>
      <c r="P5" s="6" t="n">
        <v>3054000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212</v>
      </c>
      <c r="G8" s="5" t="n">
        <v>986</v>
      </c>
      <c r="H8" s="5" t="n">
        <v>28</v>
      </c>
      <c r="I8" s="5"/>
      <c r="J8" s="5"/>
      <c r="K8" s="5" t="s">
        <v>213</v>
      </c>
      <c r="L8" s="5" t="n">
        <v>264</v>
      </c>
      <c r="M8" s="5" t="n">
        <v>22</v>
      </c>
      <c r="N8" s="5"/>
      <c r="O8" s="5"/>
      <c r="P8" s="5" t="s">
        <v>214</v>
      </c>
      <c r="Q8" s="5" t="n">
        <v>401</v>
      </c>
      <c r="R8" s="5" t="n">
        <v>3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215</v>
      </c>
      <c r="G9" s="5" t="s">
        <v>142</v>
      </c>
      <c r="H9" s="5" t="s">
        <v>148</v>
      </c>
      <c r="I9" s="7" t="n">
        <v>-2891031236502</v>
      </c>
      <c r="J9" s="8" t="n">
        <v>-495949038198</v>
      </c>
      <c r="K9" s="5" t="s">
        <v>216</v>
      </c>
      <c r="L9" s="5" t="s">
        <v>43</v>
      </c>
      <c r="M9" s="5" t="s">
        <v>217</v>
      </c>
      <c r="N9" s="7" t="n">
        <v>-3224151568480</v>
      </c>
      <c r="O9" s="8" t="n">
        <v>-162828706220</v>
      </c>
      <c r="P9" s="5" t="s">
        <v>218</v>
      </c>
      <c r="Q9" s="5" t="s">
        <v>41</v>
      </c>
      <c r="R9" s="5" t="s">
        <v>37</v>
      </c>
      <c r="S9" s="7" t="n">
        <v>-3468754007701</v>
      </c>
      <c r="T9" s="8" t="n">
        <v>81773733001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219</v>
      </c>
      <c r="G10" s="5"/>
      <c r="H10" s="5"/>
      <c r="I10" s="7" t="n">
        <v>45083</v>
      </c>
      <c r="J10" s="8" t="n">
        <v>18163</v>
      </c>
      <c r="K10" s="5" t="s">
        <v>220</v>
      </c>
      <c r="L10" s="5"/>
      <c r="M10" s="5"/>
      <c r="N10" s="7" t="n">
        <v>83769</v>
      </c>
      <c r="O10" s="8" t="n">
        <v>-20523</v>
      </c>
      <c r="P10" s="5" t="s">
        <v>46</v>
      </c>
      <c r="Q10" s="5"/>
      <c r="R10" s="5"/>
      <c r="S10" s="7" t="n">
        <v>64797</v>
      </c>
      <c r="T10" s="8" t="n">
        <v>-1551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221</v>
      </c>
      <c r="G11" s="5"/>
      <c r="H11" s="5"/>
      <c r="I11" s="7" t="n">
        <v>150302</v>
      </c>
      <c r="J11" s="8" t="n">
        <v>26602</v>
      </c>
      <c r="K11" s="5" t="s">
        <v>222</v>
      </c>
      <c r="L11" s="5"/>
      <c r="M11" s="5"/>
      <c r="N11" s="7" t="n">
        <v>96583</v>
      </c>
      <c r="O11" s="8" t="n">
        <v>80321</v>
      </c>
      <c r="P11" s="5" t="s">
        <v>153</v>
      </c>
      <c r="Q11" s="5"/>
      <c r="R11" s="5"/>
      <c r="S11" s="7" t="n">
        <v>189166</v>
      </c>
      <c r="T11" s="8" t="n">
        <v>-12262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223</v>
      </c>
      <c r="G12" s="5"/>
      <c r="H12" s="5"/>
      <c r="I12" s="6" t="n">
        <v>33737</v>
      </c>
      <c r="J12" s="6" t="n">
        <v>189078</v>
      </c>
      <c r="K12" s="5" t="s">
        <v>224</v>
      </c>
      <c r="L12" s="5"/>
      <c r="M12" s="5"/>
      <c r="N12" s="6" t="n">
        <v>150639</v>
      </c>
      <c r="O12" s="6" t="n">
        <v>86133</v>
      </c>
      <c r="P12" s="5" t="s">
        <v>225</v>
      </c>
      <c r="Q12" s="5"/>
      <c r="R12" s="5"/>
      <c r="S12" s="6" t="n">
        <v>115205</v>
      </c>
      <c r="T12" s="6" t="n">
        <v>145002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120</v>
      </c>
      <c r="G13" s="5"/>
      <c r="H13" s="5"/>
      <c r="I13" s="6" t="n">
        <v>-298190</v>
      </c>
      <c r="J13" s="6" t="n">
        <v>139788</v>
      </c>
      <c r="K13" s="5" t="s">
        <v>226</v>
      </c>
      <c r="L13" s="5"/>
      <c r="M13" s="5"/>
      <c r="N13" s="6" t="n">
        <v>-190116</v>
      </c>
      <c r="O13" s="6" t="n">
        <v>22531</v>
      </c>
      <c r="P13" s="5" t="s">
        <v>121</v>
      </c>
      <c r="Q13" s="5"/>
      <c r="R13" s="5"/>
      <c r="S13" s="6" t="n">
        <v>46099</v>
      </c>
      <c r="T13" s="6" t="n">
        <v>-211455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66</v>
      </c>
      <c r="G14" s="5"/>
      <c r="H14" s="5"/>
      <c r="I14" s="6" t="n">
        <v>-2544</v>
      </c>
      <c r="J14" s="6" t="n">
        <v>0</v>
      </c>
      <c r="K14" s="5" t="s">
        <v>66</v>
      </c>
      <c r="L14" s="5"/>
      <c r="M14" s="5"/>
      <c r="N14" s="6" t="n">
        <v>-2832</v>
      </c>
      <c r="O14" s="6" t="n">
        <v>0</v>
      </c>
      <c r="P14" s="5" t="s">
        <v>66</v>
      </c>
      <c r="Q14" s="5"/>
      <c r="R14" s="5"/>
      <c r="S14" s="6" t="n">
        <v>-3056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67</v>
      </c>
      <c r="G15" s="5"/>
      <c r="H15" s="5"/>
      <c r="I15" s="6" t="n">
        <v>0</v>
      </c>
      <c r="J15" s="6" t="n">
        <v>0</v>
      </c>
      <c r="K15" s="5" t="s">
        <v>67</v>
      </c>
      <c r="L15" s="5"/>
      <c r="M15" s="5"/>
      <c r="N15" s="6" t="n">
        <v>0</v>
      </c>
      <c r="O15" s="6" t="n">
        <v>0</v>
      </c>
      <c r="P15" s="5" t="s">
        <v>67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70</v>
      </c>
      <c r="G16" s="5"/>
      <c r="H16" s="5"/>
      <c r="I16" s="6" t="n">
        <v>5799</v>
      </c>
      <c r="J16" s="6" t="n">
        <v>0</v>
      </c>
      <c r="K16" s="5" t="s">
        <v>67</v>
      </c>
      <c r="L16" s="5"/>
      <c r="M16" s="5"/>
      <c r="N16" s="6" t="n">
        <v>12049</v>
      </c>
      <c r="O16" s="6" t="n">
        <v>-5608</v>
      </c>
      <c r="P16" s="5" t="s">
        <v>67</v>
      </c>
      <c r="Q16" s="5"/>
      <c r="R16" s="5"/>
      <c r="S16" s="6" t="n">
        <v>13002</v>
      </c>
      <c r="T16" s="6" t="n">
        <v>-6052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-19776</v>
      </c>
      <c r="J17" s="6" t="n">
        <v>6697</v>
      </c>
      <c r="K17" s="5"/>
      <c r="L17" s="5"/>
      <c r="M17" s="5"/>
      <c r="N17" s="6" t="n">
        <v>-17922</v>
      </c>
      <c r="O17" s="6" t="n">
        <v>3386</v>
      </c>
      <c r="P17" s="5"/>
      <c r="Q17" s="5"/>
      <c r="R17" s="5"/>
      <c r="S17" s="6" t="n">
        <v>-16212</v>
      </c>
      <c r="T17" s="6" t="n">
        <v>544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23809</v>
      </c>
      <c r="J18" s="6" t="n">
        <v>-434</v>
      </c>
      <c r="K18" s="5"/>
      <c r="L18" s="5"/>
      <c r="M18" s="5"/>
      <c r="N18" s="6" t="n">
        <v>26250</v>
      </c>
      <c r="O18" s="6" t="n">
        <v>-226</v>
      </c>
      <c r="P18" s="5"/>
      <c r="Q18" s="5"/>
      <c r="R18" s="5"/>
      <c r="S18" s="6" t="n">
        <v>22676</v>
      </c>
      <c r="T18" s="6" t="n">
        <v>5464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45602</v>
      </c>
      <c r="J19" s="6" t="n">
        <v>-12695</v>
      </c>
      <c r="K19" s="5"/>
      <c r="L19" s="5"/>
      <c r="M19" s="5"/>
      <c r="N19" s="6" t="n">
        <v>39028</v>
      </c>
      <c r="O19" s="6" t="n">
        <v>-2224</v>
      </c>
      <c r="P19" s="5"/>
      <c r="Q19" s="5"/>
      <c r="R19" s="5"/>
      <c r="S19" s="6" t="n">
        <v>15484</v>
      </c>
      <c r="T19" s="6" t="n">
        <v>24624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9.07</v>
      </c>
      <c r="G22" s="5"/>
      <c r="H22" s="5"/>
      <c r="I22" s="10" t="str">
        <f>623523-SUM(I23:I33)</f>
      </c>
      <c r="J22" s="10" t="str">
        <f>E22-I22</f>
      </c>
      <c r="K22" s="9" t="n">
        <v>7.55</v>
      </c>
      <c r="L22" s="5"/>
      <c r="M22" s="5"/>
      <c r="N22" s="10" t="str">
        <f>278394-SUM(N23:N33)</f>
      </c>
      <c r="O22" s="10" t="str">
        <f>E22-N22</f>
      </c>
      <c r="P22" s="9" t="n">
        <v>7.88</v>
      </c>
      <c r="Q22" s="5"/>
      <c r="R22" s="5"/>
      <c r="S22" s="10" t="str">
        <f>324358-SUM(S23:S33)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260162</v>
      </c>
      <c r="K34" s="5"/>
      <c r="L34" s="5"/>
      <c r="M34" s="5"/>
      <c r="N34" s="5"/>
      <c r="O34" s="6" t="n">
        <v>366162</v>
      </c>
      <c r="P34" s="5"/>
      <c r="Q34" s="5"/>
      <c r="R34" s="5"/>
      <c r="S34" s="5"/>
      <c r="T34" s="6" t="n">
        <v>132046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0.09</v>
      </c>
      <c r="K35" s="5"/>
      <c r="L35" s="5"/>
      <c r="M35" s="5"/>
      <c r="N35" s="5"/>
      <c r="O35" s="12" t="n">
        <v>0.13</v>
      </c>
      <c r="P35" s="5"/>
      <c r="Q35" s="5"/>
      <c r="R35" s="5"/>
      <c r="S35" s="5"/>
      <c r="T35" s="12" t="n">
        <v>0.043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0.183</v>
      </c>
      <c r="K36" s="5"/>
      <c r="L36" s="5"/>
      <c r="M36" s="5"/>
      <c r="N36" s="5"/>
      <c r="O36" s="12" t="n">
        <v>0.186</v>
      </c>
      <c r="P36" s="5"/>
      <c r="Q36" s="5"/>
      <c r="R36" s="5"/>
      <c r="S36" s="5"/>
      <c r="T36" s="12" t="n">
        <v>0.193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228</v>
      </c>
      <c r="G2" s="2"/>
      <c r="H2" s="2"/>
      <c r="I2" s="2"/>
      <c r="J2" s="2"/>
      <c r="K2" s="2" t="s">
        <v>229</v>
      </c>
      <c r="L2" s="2"/>
      <c r="M2" s="2"/>
      <c r="N2" s="2"/>
      <c r="O2" s="2"/>
      <c r="P2" s="2" t="s">
        <v>230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231</v>
      </c>
      <c r="G3" s="3"/>
      <c r="H3" s="3"/>
      <c r="I3" s="3"/>
      <c r="J3" s="3"/>
      <c r="K3" s="3" t="s">
        <v>232</v>
      </c>
      <c r="L3" s="3"/>
      <c r="M3" s="3"/>
      <c r="N3" s="3"/>
      <c r="O3" s="3"/>
      <c r="P3" s="3" t="s">
        <v>233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234</v>
      </c>
      <c r="G4" s="5" t="s">
        <v>235</v>
      </c>
      <c r="H4" s="5" t="n">
        <v>21</v>
      </c>
      <c r="I4" s="5" t="s">
        <v>236</v>
      </c>
      <c r="J4" s="5"/>
      <c r="K4" s="5" t="s">
        <v>237</v>
      </c>
      <c r="L4" s="5" t="s">
        <v>238</v>
      </c>
      <c r="M4" s="5" t="n">
        <v>23</v>
      </c>
      <c r="N4" s="5" t="s">
        <v>239</v>
      </c>
      <c r="O4" s="5"/>
      <c r="P4" s="5" t="s">
        <v>240</v>
      </c>
      <c r="Q4" s="5" t="s">
        <v>241</v>
      </c>
      <c r="R4" s="5" t="n">
        <v>29</v>
      </c>
      <c r="S4" s="5" t="s">
        <v>242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2886000</v>
      </c>
      <c r="G5" s="6" t="n">
        <v>0</v>
      </c>
      <c r="H5" s="6" t="str">
        <f>F5-G5</f>
      </c>
      <c r="I5" s="5"/>
      <c r="J5" s="5"/>
      <c r="K5" s="6" t="n">
        <v>2765000</v>
      </c>
      <c r="L5" s="6" t="n">
        <v>0</v>
      </c>
      <c r="M5" s="6" t="str">
        <f>K5-L5</f>
      </c>
      <c r="N5" s="5"/>
      <c r="O5" s="5"/>
      <c r="P5" s="6" t="n">
        <v>3085000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243</v>
      </c>
      <c r="G8" s="5" t="n">
        <v>156</v>
      </c>
      <c r="H8" s="5" t="n">
        <v>21</v>
      </c>
      <c r="I8" s="5"/>
      <c r="J8" s="5"/>
      <c r="K8" s="5" t="s">
        <v>244</v>
      </c>
      <c r="L8" s="5" t="n">
        <v>412</v>
      </c>
      <c r="M8" s="5" t="n">
        <v>23</v>
      </c>
      <c r="N8" s="5"/>
      <c r="O8" s="5"/>
      <c r="P8" s="5" t="s">
        <v>245</v>
      </c>
      <c r="Q8" s="5" t="n">
        <v>1154</v>
      </c>
      <c r="R8" s="5" t="n">
        <v>29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246</v>
      </c>
      <c r="G9" s="5" t="s">
        <v>39</v>
      </c>
      <c r="H9" s="5" t="s">
        <v>143</v>
      </c>
      <c r="I9" s="7" t="n">
        <v>-3078443932808</v>
      </c>
      <c r="J9" s="8" t="n">
        <v>-308536341892</v>
      </c>
      <c r="K9" s="5" t="s">
        <v>247</v>
      </c>
      <c r="L9" s="5" t="s">
        <v>248</v>
      </c>
      <c r="M9" s="5" t="s">
        <v>44</v>
      </c>
      <c r="N9" s="7" t="n">
        <v>-3184665883264</v>
      </c>
      <c r="O9" s="8" t="n">
        <v>-202314391436</v>
      </c>
      <c r="P9" s="5" t="s">
        <v>249</v>
      </c>
      <c r="Q9" s="5" t="s">
        <v>250</v>
      </c>
      <c r="R9" s="5" t="s">
        <v>251</v>
      </c>
      <c r="S9" s="7" t="n">
        <v>-3451635297251</v>
      </c>
      <c r="T9" s="8" t="n">
        <v>64655022551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252</v>
      </c>
      <c r="G10" s="5"/>
      <c r="H10" s="5"/>
      <c r="I10" s="7" t="n">
        <v>41420</v>
      </c>
      <c r="J10" s="8" t="n">
        <v>21826</v>
      </c>
      <c r="K10" s="5" t="s">
        <v>253</v>
      </c>
      <c r="L10" s="5"/>
      <c r="M10" s="5"/>
      <c r="N10" s="7" t="n">
        <v>76011</v>
      </c>
      <c r="O10" s="8" t="n">
        <v>-12765</v>
      </c>
      <c r="P10" s="5" t="s">
        <v>254</v>
      </c>
      <c r="Q10" s="5"/>
      <c r="R10" s="5"/>
      <c r="S10" s="7" t="n">
        <v>75767</v>
      </c>
      <c r="T10" s="8" t="n">
        <v>-12521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67</v>
      </c>
      <c r="G11" s="5"/>
      <c r="H11" s="5"/>
      <c r="I11" s="7" t="n">
        <v>269511</v>
      </c>
      <c r="J11" s="8" t="n">
        <v>-92607</v>
      </c>
      <c r="K11" s="5" t="s">
        <v>154</v>
      </c>
      <c r="L11" s="5"/>
      <c r="M11" s="5"/>
      <c r="N11" s="7" t="n">
        <v>158152</v>
      </c>
      <c r="O11" s="8" t="n">
        <v>18752</v>
      </c>
      <c r="P11" s="5" t="s">
        <v>116</v>
      </c>
      <c r="Q11" s="5"/>
      <c r="R11" s="5"/>
      <c r="S11" s="7" t="n">
        <v>180648</v>
      </c>
      <c r="T11" s="8" t="n">
        <v>-3744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255</v>
      </c>
      <c r="G12" s="5"/>
      <c r="H12" s="5"/>
      <c r="I12" s="6" t="n">
        <v>176584</v>
      </c>
      <c r="J12" s="6" t="n">
        <v>46586</v>
      </c>
      <c r="K12" s="5" t="s">
        <v>256</v>
      </c>
      <c r="L12" s="5"/>
      <c r="M12" s="5"/>
      <c r="N12" s="6" t="n">
        <v>102016</v>
      </c>
      <c r="O12" s="6" t="n">
        <v>136696</v>
      </c>
      <c r="P12" s="5" t="s">
        <v>257</v>
      </c>
      <c r="Q12" s="5"/>
      <c r="R12" s="5"/>
      <c r="S12" s="6" t="n">
        <v>120662</v>
      </c>
      <c r="T12" s="6" t="n">
        <v>137762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258</v>
      </c>
      <c r="G13" s="5"/>
      <c r="H13" s="5"/>
      <c r="I13" s="6" t="n">
        <v>-387089</v>
      </c>
      <c r="J13" s="6" t="n">
        <v>214189</v>
      </c>
      <c r="K13" s="5" t="s">
        <v>63</v>
      </c>
      <c r="L13" s="5"/>
      <c r="M13" s="5"/>
      <c r="N13" s="6" t="n">
        <v>-232961</v>
      </c>
      <c r="O13" s="6" t="n">
        <v>64530</v>
      </c>
      <c r="P13" s="5" t="s">
        <v>259</v>
      </c>
      <c r="Q13" s="5"/>
      <c r="R13" s="5"/>
      <c r="S13" s="6" t="n">
        <v>35085</v>
      </c>
      <c r="T13" s="6" t="n">
        <v>-200352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66</v>
      </c>
      <c r="G14" s="5"/>
      <c r="H14" s="5"/>
      <c r="I14" s="6" t="n">
        <v>-2708</v>
      </c>
      <c r="J14" s="6" t="n">
        <v>0</v>
      </c>
      <c r="K14" s="5" t="s">
        <v>66</v>
      </c>
      <c r="L14" s="5"/>
      <c r="M14" s="5"/>
      <c r="N14" s="6" t="n">
        <v>-2799</v>
      </c>
      <c r="O14" s="6" t="n">
        <v>0</v>
      </c>
      <c r="P14" s="5" t="s">
        <v>66</v>
      </c>
      <c r="Q14" s="5"/>
      <c r="R14" s="5"/>
      <c r="S14" s="6" t="n">
        <v>-3042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67</v>
      </c>
      <c r="G15" s="5"/>
      <c r="H15" s="5"/>
      <c r="I15" s="6" t="n">
        <v>0</v>
      </c>
      <c r="J15" s="6" t="n">
        <v>0</v>
      </c>
      <c r="K15" s="5" t="s">
        <v>67</v>
      </c>
      <c r="L15" s="5"/>
      <c r="M15" s="5"/>
      <c r="N15" s="6" t="n">
        <v>0</v>
      </c>
      <c r="O15" s="6" t="n">
        <v>0</v>
      </c>
      <c r="P15" s="5" t="s">
        <v>66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260</v>
      </c>
      <c r="G16" s="5"/>
      <c r="H16" s="5"/>
      <c r="I16" s="6" t="n">
        <v>-82039</v>
      </c>
      <c r="J16" s="6" t="n">
        <v>88437</v>
      </c>
      <c r="K16" s="5" t="s">
        <v>67</v>
      </c>
      <c r="L16" s="5"/>
      <c r="M16" s="5"/>
      <c r="N16" s="6" t="n">
        <v>11910</v>
      </c>
      <c r="O16" s="6" t="n">
        <v>-5544</v>
      </c>
      <c r="P16" s="5" t="s">
        <v>67</v>
      </c>
      <c r="Q16" s="5"/>
      <c r="R16" s="5"/>
      <c r="S16" s="6" t="n">
        <v>12942</v>
      </c>
      <c r="T16" s="6" t="n">
        <v>-6024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-17468</v>
      </c>
      <c r="J17" s="6" t="n">
        <v>3567</v>
      </c>
      <c r="K17" s="5"/>
      <c r="L17" s="5"/>
      <c r="M17" s="5"/>
      <c r="N17" s="6" t="n">
        <v>-20457</v>
      </c>
      <c r="O17" s="6" t="n">
        <v>6073</v>
      </c>
      <c r="P17" s="5"/>
      <c r="Q17" s="5"/>
      <c r="R17" s="5"/>
      <c r="S17" s="6" t="n">
        <v>4954</v>
      </c>
      <c r="T17" s="6" t="n">
        <v>-20430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24904</v>
      </c>
      <c r="J18" s="6" t="n">
        <v>-18</v>
      </c>
      <c r="K18" s="5"/>
      <c r="L18" s="5"/>
      <c r="M18" s="5"/>
      <c r="N18" s="6" t="n">
        <v>26214</v>
      </c>
      <c r="O18" s="6" t="n">
        <v>-493</v>
      </c>
      <c r="P18" s="5"/>
      <c r="Q18" s="5"/>
      <c r="R18" s="5"/>
      <c r="S18" s="6" t="n">
        <v>22996</v>
      </c>
      <c r="T18" s="6" t="n">
        <v>5010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53667</v>
      </c>
      <c r="J19" s="6" t="n">
        <v>-18716</v>
      </c>
      <c r="K19" s="5"/>
      <c r="L19" s="5"/>
      <c r="M19" s="5"/>
      <c r="N19" s="6" t="n">
        <v>42515</v>
      </c>
      <c r="O19" s="6" t="n">
        <v>-6193</v>
      </c>
      <c r="P19" s="5"/>
      <c r="Q19" s="5"/>
      <c r="R19" s="5"/>
      <c r="S19" s="6" t="n">
        <v>-23424</v>
      </c>
      <c r="T19" s="6" t="n">
        <v>63922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8.6</v>
      </c>
      <c r="G22" s="5"/>
      <c r="H22" s="5"/>
      <c r="I22" s="10" t="str">
        <f>467110-SUM(I23:I33)</f>
      </c>
      <c r="J22" s="10" t="str">
        <f>E22-I22</f>
      </c>
      <c r="K22" s="9" t="n">
        <v>7.46</v>
      </c>
      <c r="L22" s="5"/>
      <c r="M22" s="5"/>
      <c r="N22" s="10" t="str">
        <f>264511-SUM(N23:N33)</f>
      </c>
      <c r="O22" s="10" t="str">
        <f>E22-N22</f>
      </c>
      <c r="P22" s="9" t="n">
        <v>8.1</v>
      </c>
      <c r="Q22" s="5"/>
      <c r="R22" s="5"/>
      <c r="S22" s="10" t="str">
        <f>367817-SUM(S23:S33)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290738</v>
      </c>
      <c r="K34" s="5"/>
      <c r="L34" s="5"/>
      <c r="M34" s="5"/>
      <c r="N34" s="5"/>
      <c r="O34" s="6" t="n">
        <v>409060</v>
      </c>
      <c r="P34" s="5"/>
      <c r="Q34" s="5"/>
      <c r="R34" s="5"/>
      <c r="S34" s="5"/>
      <c r="T34" s="6" t="n">
        <v>100914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0.101</v>
      </c>
      <c r="K35" s="5"/>
      <c r="L35" s="5"/>
      <c r="M35" s="5"/>
      <c r="N35" s="5"/>
      <c r="O35" s="12" t="n">
        <v>0.148</v>
      </c>
      <c r="P35" s="5"/>
      <c r="Q35" s="5"/>
      <c r="R35" s="5"/>
      <c r="S35" s="5"/>
      <c r="T35" s="12" t="n">
        <v>0.033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0.196</v>
      </c>
      <c r="K36" s="5"/>
      <c r="L36" s="5"/>
      <c r="M36" s="5"/>
      <c r="N36" s="5"/>
      <c r="O36" s="12" t="n">
        <v>0.197</v>
      </c>
      <c r="P36" s="5"/>
      <c r="Q36" s="5"/>
      <c r="R36" s="5"/>
      <c r="S36" s="5"/>
      <c r="T36" s="12" t="n">
        <v>0.201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261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262</v>
      </c>
      <c r="G2" s="2"/>
      <c r="H2" s="2"/>
      <c r="I2" s="2"/>
      <c r="J2" s="2"/>
      <c r="K2" s="2" t="s">
        <v>263</v>
      </c>
      <c r="L2" s="2"/>
      <c r="M2" s="2"/>
      <c r="N2" s="2"/>
      <c r="O2" s="2"/>
      <c r="P2" s="2" t="s">
        <v>264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265</v>
      </c>
      <c r="G3" s="3"/>
      <c r="H3" s="3"/>
      <c r="I3" s="3"/>
      <c r="J3" s="3"/>
      <c r="K3" s="3" t="s">
        <v>266</v>
      </c>
      <c r="L3" s="3"/>
      <c r="M3" s="3"/>
      <c r="N3" s="3"/>
      <c r="O3" s="3"/>
      <c r="P3" s="3" t="s">
        <v>267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268</v>
      </c>
      <c r="G4" s="5" t="s">
        <v>269</v>
      </c>
      <c r="H4" s="5" t="n">
        <v>32</v>
      </c>
      <c r="I4" s="5" t="s">
        <v>270</v>
      </c>
      <c r="J4" s="5"/>
      <c r="K4" s="5" t="s">
        <v>271</v>
      </c>
      <c r="L4" s="5" t="s">
        <v>272</v>
      </c>
      <c r="M4" s="5" t="n">
        <v>21</v>
      </c>
      <c r="N4" s="5" t="s">
        <v>273</v>
      </c>
      <c r="O4" s="5"/>
      <c r="P4" s="5" t="s">
        <v>274</v>
      </c>
      <c r="Q4" s="5" t="s">
        <v>275</v>
      </c>
      <c r="R4" s="5" t="n">
        <v>34</v>
      </c>
      <c r="S4" s="5" t="s">
        <v>276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3531000</v>
      </c>
      <c r="G5" s="6" t="n">
        <v>0</v>
      </c>
      <c r="H5" s="6" t="str">
        <f>F5-G5</f>
      </c>
      <c r="I5" s="5"/>
      <c r="J5" s="5"/>
      <c r="K5" s="6" t="n">
        <v>2645000</v>
      </c>
      <c r="L5" s="6" t="n">
        <v>0</v>
      </c>
      <c r="M5" s="6" t="str">
        <f>K5-L5</f>
      </c>
      <c r="N5" s="5"/>
      <c r="O5" s="5"/>
      <c r="P5" s="6" t="n">
        <v>2783000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277</v>
      </c>
      <c r="G8" s="5" t="n">
        <v>1337</v>
      </c>
      <c r="H8" s="5" t="n">
        <v>32</v>
      </c>
      <c r="I8" s="5"/>
      <c r="J8" s="5"/>
      <c r="K8" s="5" t="s">
        <v>278</v>
      </c>
      <c r="L8" s="5" t="n">
        <v>240</v>
      </c>
      <c r="M8" s="5" t="n">
        <v>21</v>
      </c>
      <c r="N8" s="5"/>
      <c r="O8" s="5"/>
      <c r="P8" s="5" t="s">
        <v>279</v>
      </c>
      <c r="Q8" s="5" t="n">
        <v>775</v>
      </c>
      <c r="R8" s="5" t="n">
        <v>34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280</v>
      </c>
      <c r="G9" s="5" t="s">
        <v>110</v>
      </c>
      <c r="H9" s="5" t="s">
        <v>217</v>
      </c>
      <c r="I9" s="7" t="n">
        <v>-3735843126323</v>
      </c>
      <c r="J9" s="8" t="n">
        <v>348862851623</v>
      </c>
      <c r="K9" s="5" t="s">
        <v>281</v>
      </c>
      <c r="L9" s="5" t="s">
        <v>39</v>
      </c>
      <c r="M9" s="5" t="s">
        <v>148</v>
      </c>
      <c r="N9" s="7" t="n">
        <v>-2894053339708</v>
      </c>
      <c r="O9" s="8" t="n">
        <v>-492926934992</v>
      </c>
      <c r="P9" s="5" t="s">
        <v>144</v>
      </c>
      <c r="Q9" s="5" t="s">
        <v>182</v>
      </c>
      <c r="R9" s="5" t="s">
        <v>37</v>
      </c>
      <c r="S9" s="7" t="n">
        <v>-3123282950929</v>
      </c>
      <c r="T9" s="8" t="n">
        <v>-263697323771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282</v>
      </c>
      <c r="G10" s="5"/>
      <c r="H10" s="5"/>
      <c r="I10" s="7" t="n">
        <v>90008</v>
      </c>
      <c r="J10" s="8" t="n">
        <v>-26762</v>
      </c>
      <c r="K10" s="5" t="s">
        <v>283</v>
      </c>
      <c r="L10" s="5"/>
      <c r="M10" s="5"/>
      <c r="N10" s="7" t="n">
        <v>50779</v>
      </c>
      <c r="O10" s="8" t="n">
        <v>12467</v>
      </c>
      <c r="P10" s="5" t="s">
        <v>284</v>
      </c>
      <c r="Q10" s="5"/>
      <c r="R10" s="5"/>
      <c r="S10" s="7" t="n">
        <v>58466</v>
      </c>
      <c r="T10" s="8" t="n">
        <v>4780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285</v>
      </c>
      <c r="G11" s="5"/>
      <c r="H11" s="5"/>
      <c r="I11" s="7" t="n">
        <v>134691</v>
      </c>
      <c r="J11" s="8" t="n">
        <v>42213</v>
      </c>
      <c r="K11" s="5" t="s">
        <v>51</v>
      </c>
      <c r="L11" s="5"/>
      <c r="M11" s="5"/>
      <c r="N11" s="7" t="n">
        <v>150989</v>
      </c>
      <c r="O11" s="8" t="n">
        <v>25915</v>
      </c>
      <c r="P11" s="5" t="s">
        <v>286</v>
      </c>
      <c r="Q11" s="5"/>
      <c r="R11" s="5"/>
      <c r="S11" s="7" t="n">
        <v>188785</v>
      </c>
      <c r="T11" s="8" t="n">
        <v>-11881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287</v>
      </c>
      <c r="G12" s="5"/>
      <c r="H12" s="5"/>
      <c r="I12" s="6" t="n">
        <v>225547</v>
      </c>
      <c r="J12" s="6" t="n">
        <v>44379</v>
      </c>
      <c r="K12" s="5" t="s">
        <v>288</v>
      </c>
      <c r="L12" s="5"/>
      <c r="M12" s="5"/>
      <c r="N12" s="6" t="n">
        <v>142254</v>
      </c>
      <c r="O12" s="6" t="n">
        <v>69913</v>
      </c>
      <c r="P12" s="5" t="s">
        <v>289</v>
      </c>
      <c r="Q12" s="5"/>
      <c r="R12" s="5"/>
      <c r="S12" s="6" t="n">
        <v>3948</v>
      </c>
      <c r="T12" s="6" t="n">
        <v>239819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290</v>
      </c>
      <c r="G13" s="5"/>
      <c r="H13" s="5"/>
      <c r="I13" s="6" t="n">
        <v>168705</v>
      </c>
      <c r="J13" s="6" t="n">
        <v>-339322</v>
      </c>
      <c r="K13" s="5" t="s">
        <v>291</v>
      </c>
      <c r="L13" s="5"/>
      <c r="M13" s="5"/>
      <c r="N13" s="6" t="n">
        <v>-453516</v>
      </c>
      <c r="O13" s="6" t="n">
        <v>285450</v>
      </c>
      <c r="P13" s="5" t="s">
        <v>292</v>
      </c>
      <c r="Q13" s="5"/>
      <c r="R13" s="5"/>
      <c r="S13" s="6" t="n">
        <v>-241486</v>
      </c>
      <c r="T13" s="6" t="n">
        <v>75442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66</v>
      </c>
      <c r="G14" s="5"/>
      <c r="H14" s="5"/>
      <c r="I14" s="6" t="n">
        <v>-3288</v>
      </c>
      <c r="J14" s="6" t="n">
        <v>0</v>
      </c>
      <c r="K14" s="5" t="s">
        <v>66</v>
      </c>
      <c r="L14" s="5"/>
      <c r="M14" s="5"/>
      <c r="N14" s="6" t="n">
        <v>-2546</v>
      </c>
      <c r="O14" s="6" t="n">
        <v>0</v>
      </c>
      <c r="P14" s="5" t="s">
        <v>66</v>
      </c>
      <c r="Q14" s="5"/>
      <c r="R14" s="5"/>
      <c r="S14" s="6" t="n">
        <v>-2746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66</v>
      </c>
      <c r="G15" s="5"/>
      <c r="H15" s="5"/>
      <c r="I15" s="6" t="n">
        <v>0</v>
      </c>
      <c r="J15" s="6" t="n">
        <v>0</v>
      </c>
      <c r="K15" s="5" t="s">
        <v>67</v>
      </c>
      <c r="L15" s="5"/>
      <c r="M15" s="5"/>
      <c r="N15" s="6" t="n">
        <v>0</v>
      </c>
      <c r="O15" s="6" t="n">
        <v>0</v>
      </c>
      <c r="P15" s="5" t="s">
        <v>293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67</v>
      </c>
      <c r="G16" s="5"/>
      <c r="H16" s="5"/>
      <c r="I16" s="6" t="n">
        <v>13992</v>
      </c>
      <c r="J16" s="6" t="n">
        <v>-6513</v>
      </c>
      <c r="K16" s="5" t="s">
        <v>70</v>
      </c>
      <c r="L16" s="5"/>
      <c r="M16" s="5"/>
      <c r="N16" s="6" t="n">
        <v>5803</v>
      </c>
      <c r="O16" s="6" t="n">
        <v>0</v>
      </c>
      <c r="P16" s="5" t="s">
        <v>67</v>
      </c>
      <c r="Q16" s="5"/>
      <c r="R16" s="5"/>
      <c r="S16" s="6" t="n">
        <v>11685</v>
      </c>
      <c r="T16" s="6" t="n">
        <v>-5439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19682</v>
      </c>
      <c r="J17" s="6" t="n">
        <v>-36331</v>
      </c>
      <c r="K17" s="5"/>
      <c r="L17" s="5"/>
      <c r="M17" s="5"/>
      <c r="N17" s="6" t="n">
        <v>-18903</v>
      </c>
      <c r="O17" s="6" t="n">
        <v>5820</v>
      </c>
      <c r="P17" s="5"/>
      <c r="Q17" s="5"/>
      <c r="R17" s="5"/>
      <c r="S17" s="6" t="n">
        <v>-23404</v>
      </c>
      <c r="T17" s="6" t="n">
        <v>9273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18374</v>
      </c>
      <c r="J18" s="6" t="n">
        <v>11973</v>
      </c>
      <c r="K18" s="5"/>
      <c r="L18" s="5"/>
      <c r="M18" s="5"/>
      <c r="N18" s="6" t="n">
        <v>22388</v>
      </c>
      <c r="O18" s="6" t="n">
        <v>1018</v>
      </c>
      <c r="P18" s="5"/>
      <c r="Q18" s="5"/>
      <c r="R18" s="5"/>
      <c r="S18" s="6" t="n">
        <v>25760</v>
      </c>
      <c r="T18" s="6" t="n">
        <v>-526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-4381</v>
      </c>
      <c r="J19" s="6" t="n">
        <v>47857</v>
      </c>
      <c r="K19" s="5"/>
      <c r="L19" s="5"/>
      <c r="M19" s="5"/>
      <c r="N19" s="6" t="n">
        <v>56526</v>
      </c>
      <c r="O19" s="6" t="n">
        <v>-23758</v>
      </c>
      <c r="P19" s="5"/>
      <c r="Q19" s="5"/>
      <c r="R19" s="5"/>
      <c r="S19" s="6" t="n">
        <v>93236</v>
      </c>
      <c r="T19" s="6" t="n">
        <v>-58362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8.97</v>
      </c>
      <c r="G22" s="5"/>
      <c r="H22" s="5"/>
      <c r="I22" s="10" t="str">
        <f>593370-SUM(I23:I33)</f>
      </c>
      <c r="J22" s="10" t="str">
        <f>E22-I22</f>
      </c>
      <c r="K22" s="9" t="n">
        <v>8.11</v>
      </c>
      <c r="L22" s="5"/>
      <c r="M22" s="5"/>
      <c r="N22" s="10" t="str">
        <f>370996-SUM(N23:N33)</f>
      </c>
      <c r="O22" s="10" t="str">
        <f>E22-N22</f>
      </c>
      <c r="P22" s="9" t="n">
        <v>7.92</v>
      </c>
      <c r="Q22" s="5"/>
      <c r="R22" s="5"/>
      <c r="S22" s="10" t="str">
        <f>329792-SUM(S23:S33)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-346705</v>
      </c>
      <c r="K34" s="5"/>
      <c r="L34" s="5"/>
      <c r="M34" s="5"/>
      <c r="N34" s="5"/>
      <c r="O34" s="6" t="n">
        <v>517378</v>
      </c>
      <c r="P34" s="5"/>
      <c r="Q34" s="5"/>
      <c r="R34" s="5"/>
      <c r="S34" s="5"/>
      <c r="T34" s="6" t="n">
        <v>395872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-0.098</v>
      </c>
      <c r="K35" s="5"/>
      <c r="L35" s="5"/>
      <c r="M35" s="5"/>
      <c r="N35" s="5"/>
      <c r="O35" s="12" t="n">
        <v>0.196</v>
      </c>
      <c r="P35" s="5"/>
      <c r="Q35" s="5"/>
      <c r="R35" s="5"/>
      <c r="S35" s="5"/>
      <c r="T35" s="12" t="n">
        <v>0.142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0.206</v>
      </c>
      <c r="K36" s="5"/>
      <c r="L36" s="5"/>
      <c r="M36" s="5"/>
      <c r="N36" s="5"/>
      <c r="O36" s="12" t="n">
        <v>0.219</v>
      </c>
      <c r="P36" s="5"/>
      <c r="Q36" s="5"/>
      <c r="R36" s="5"/>
      <c r="S36" s="5"/>
      <c r="T36" s="12" t="n">
        <v>0.223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294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295</v>
      </c>
      <c r="G2" s="2"/>
      <c r="H2" s="2"/>
      <c r="I2" s="2"/>
      <c r="J2" s="2"/>
      <c r="K2" s="2" t="s">
        <v>296</v>
      </c>
      <c r="L2" s="2"/>
      <c r="M2" s="2"/>
      <c r="N2" s="2"/>
      <c r="O2" s="2"/>
      <c r="P2" s="2" t="s">
        <v>297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298</v>
      </c>
      <c r="G3" s="3"/>
      <c r="H3" s="3"/>
      <c r="I3" s="3"/>
      <c r="J3" s="3"/>
      <c r="K3" s="3" t="s">
        <v>299</v>
      </c>
      <c r="L3" s="3"/>
      <c r="M3" s="3"/>
      <c r="N3" s="3"/>
      <c r="O3" s="3"/>
      <c r="P3" s="3" t="s">
        <v>300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301</v>
      </c>
      <c r="G4" s="5" t="s">
        <v>302</v>
      </c>
      <c r="H4" s="5" t="n">
        <v>16</v>
      </c>
      <c r="I4" s="5" t="s">
        <v>303</v>
      </c>
      <c r="J4" s="5"/>
      <c r="K4" s="5" t="s">
        <v>304</v>
      </c>
      <c r="L4" s="5" t="s">
        <v>305</v>
      </c>
      <c r="M4" s="5" t="n">
        <v>28</v>
      </c>
      <c r="N4" s="5" t="s">
        <v>306</v>
      </c>
      <c r="O4" s="5"/>
      <c r="P4" s="5" t="s">
        <v>307</v>
      </c>
      <c r="Q4" s="5" t="s">
        <v>308</v>
      </c>
      <c r="R4" s="5" t="n">
        <v>5</v>
      </c>
      <c r="S4" s="5" t="s">
        <v>309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2736000</v>
      </c>
      <c r="G5" s="6" t="n">
        <v>0</v>
      </c>
      <c r="H5" s="6" t="str">
        <f>F5-G5</f>
      </c>
      <c r="I5" s="5"/>
      <c r="J5" s="5"/>
      <c r="K5" s="6" t="n">
        <v>3005000</v>
      </c>
      <c r="L5" s="6" t="n">
        <v>0</v>
      </c>
      <c r="M5" s="6" t="str">
        <f>K5-L5</f>
      </c>
      <c r="N5" s="5"/>
      <c r="O5" s="5"/>
      <c r="P5" s="6" t="n">
        <v>2705000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310</v>
      </c>
      <c r="G8" s="5" t="n">
        <v>957</v>
      </c>
      <c r="H8" s="5" t="n">
        <v>16</v>
      </c>
      <c r="I8" s="5"/>
      <c r="J8" s="5"/>
      <c r="K8" s="5" t="s">
        <v>311</v>
      </c>
      <c r="L8" s="5" t="n">
        <v>593</v>
      </c>
      <c r="M8" s="5" t="n">
        <v>28</v>
      </c>
      <c r="N8" s="5"/>
      <c r="O8" s="5"/>
      <c r="P8" s="5" t="s">
        <v>312</v>
      </c>
      <c r="Q8" s="5" t="n">
        <v>821</v>
      </c>
      <c r="R8" s="5" t="n">
        <v>5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313</v>
      </c>
      <c r="G9" s="5" t="s">
        <v>110</v>
      </c>
      <c r="H9" s="5" t="s">
        <v>148</v>
      </c>
      <c r="I9" s="7" t="n">
        <v>-3096056744443</v>
      </c>
      <c r="J9" s="8" t="n">
        <v>-290923530257</v>
      </c>
      <c r="K9" s="5" t="s">
        <v>216</v>
      </c>
      <c r="L9" s="5" t="s">
        <v>182</v>
      </c>
      <c r="M9" s="5" t="s">
        <v>217</v>
      </c>
      <c r="N9" s="7" t="n">
        <v>-3275264352656</v>
      </c>
      <c r="O9" s="8" t="n">
        <v>-111715922044</v>
      </c>
      <c r="P9" s="5" t="s">
        <v>314</v>
      </c>
      <c r="Q9" s="5" t="s">
        <v>142</v>
      </c>
      <c r="R9" s="5" t="s">
        <v>183</v>
      </c>
      <c r="S9" s="7" t="n">
        <v>-2686185322134</v>
      </c>
      <c r="T9" s="8" t="n">
        <v>-700794952566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315</v>
      </c>
      <c r="G10" s="5"/>
      <c r="H10" s="5"/>
      <c r="I10" s="7" t="n">
        <v>48077</v>
      </c>
      <c r="J10" s="8" t="n">
        <v>15169</v>
      </c>
      <c r="K10" s="5" t="s">
        <v>316</v>
      </c>
      <c r="L10" s="5"/>
      <c r="M10" s="5"/>
      <c r="N10" s="7" t="n">
        <v>76299</v>
      </c>
      <c r="O10" s="8" t="n">
        <v>-13053</v>
      </c>
      <c r="P10" s="5" t="s">
        <v>317</v>
      </c>
      <c r="Q10" s="5"/>
      <c r="R10" s="5"/>
      <c r="S10" s="7" t="n">
        <v>39677</v>
      </c>
      <c r="T10" s="8" t="n">
        <v>23569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318</v>
      </c>
      <c r="G11" s="5"/>
      <c r="H11" s="5"/>
      <c r="I11" s="7" t="n">
        <v>176574</v>
      </c>
      <c r="J11" s="8" t="n">
        <v>330</v>
      </c>
      <c r="K11" s="5" t="s">
        <v>222</v>
      </c>
      <c r="L11" s="5"/>
      <c r="M11" s="5"/>
      <c r="N11" s="7" t="n">
        <v>98224</v>
      </c>
      <c r="O11" s="8" t="n">
        <v>78680</v>
      </c>
      <c r="P11" s="5" t="s">
        <v>319</v>
      </c>
      <c r="Q11" s="5"/>
      <c r="R11" s="5"/>
      <c r="S11" s="7" t="n">
        <v>52389</v>
      </c>
      <c r="T11" s="8" t="n">
        <v>124515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320</v>
      </c>
      <c r="G12" s="5"/>
      <c r="H12" s="5"/>
      <c r="I12" s="6" t="n">
        <v>27188</v>
      </c>
      <c r="J12" s="6" t="n">
        <v>212408</v>
      </c>
      <c r="K12" s="5" t="s">
        <v>321</v>
      </c>
      <c r="L12" s="5"/>
      <c r="M12" s="5"/>
      <c r="N12" s="6" t="n">
        <v>44783</v>
      </c>
      <c r="O12" s="6" t="n">
        <v>206801</v>
      </c>
      <c r="P12" s="5" t="s">
        <v>322</v>
      </c>
      <c r="Q12" s="5"/>
      <c r="R12" s="5"/>
      <c r="S12" s="6" t="n">
        <v>3277</v>
      </c>
      <c r="T12" s="6" t="n">
        <v>206544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323</v>
      </c>
      <c r="G13" s="5"/>
      <c r="H13" s="5"/>
      <c r="I13" s="6" t="n">
        <v>-94584</v>
      </c>
      <c r="J13" s="6" t="n">
        <v>-61257</v>
      </c>
      <c r="K13" s="5" t="s">
        <v>324</v>
      </c>
      <c r="L13" s="5"/>
      <c r="M13" s="5"/>
      <c r="N13" s="6" t="n">
        <v>22859</v>
      </c>
      <c r="O13" s="6" t="n">
        <v>-179970</v>
      </c>
      <c r="P13" s="5" t="s">
        <v>325</v>
      </c>
      <c r="Q13" s="5"/>
      <c r="R13" s="5"/>
      <c r="S13" s="6" t="n">
        <v>-307124</v>
      </c>
      <c r="T13" s="6" t="n">
        <v>158094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66</v>
      </c>
      <c r="G14" s="5"/>
      <c r="H14" s="5"/>
      <c r="I14" s="6" t="n">
        <v>-2725</v>
      </c>
      <c r="J14" s="6" t="n">
        <v>0</v>
      </c>
      <c r="K14" s="5" t="s">
        <v>66</v>
      </c>
      <c r="L14" s="5"/>
      <c r="M14" s="5"/>
      <c r="N14" s="6" t="n">
        <v>-2880</v>
      </c>
      <c r="O14" s="6" t="n">
        <v>0</v>
      </c>
      <c r="P14" s="5" t="s">
        <v>66</v>
      </c>
      <c r="Q14" s="5"/>
      <c r="R14" s="5"/>
      <c r="S14" s="6" t="n">
        <v>-2364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161</v>
      </c>
      <c r="G15" s="5"/>
      <c r="H15" s="5"/>
      <c r="I15" s="6" t="n">
        <v>0</v>
      </c>
      <c r="J15" s="6" t="n">
        <v>0</v>
      </c>
      <c r="K15" s="5" t="s">
        <v>161</v>
      </c>
      <c r="L15" s="5"/>
      <c r="M15" s="5"/>
      <c r="N15" s="6" t="n">
        <v>0</v>
      </c>
      <c r="O15" s="6" t="n">
        <v>0</v>
      </c>
      <c r="P15" s="5" t="s">
        <v>67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70</v>
      </c>
      <c r="G16" s="5"/>
      <c r="H16" s="5"/>
      <c r="I16" s="6" t="n">
        <v>6212</v>
      </c>
      <c r="J16" s="6" t="n">
        <v>0</v>
      </c>
      <c r="K16" s="5" t="s">
        <v>67</v>
      </c>
      <c r="L16" s="5"/>
      <c r="M16" s="5"/>
      <c r="N16" s="6" t="n">
        <v>12253</v>
      </c>
      <c r="O16" s="6" t="n">
        <v>-5704</v>
      </c>
      <c r="P16" s="5" t="s">
        <v>70</v>
      </c>
      <c r="Q16" s="5"/>
      <c r="R16" s="5"/>
      <c r="S16" s="6" t="n">
        <v>5388</v>
      </c>
      <c r="T16" s="6" t="n">
        <v>0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-11108</v>
      </c>
      <c r="J17" s="6" t="n">
        <v>-2846</v>
      </c>
      <c r="K17" s="5"/>
      <c r="L17" s="5"/>
      <c r="M17" s="5"/>
      <c r="N17" s="6" t="n">
        <v>-16577</v>
      </c>
      <c r="O17" s="6" t="n">
        <v>1804</v>
      </c>
      <c r="P17" s="5"/>
      <c r="Q17" s="5"/>
      <c r="R17" s="5"/>
      <c r="S17" s="6" t="n">
        <v>-22755</v>
      </c>
      <c r="T17" s="6" t="n">
        <v>10577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24107</v>
      </c>
      <c r="J18" s="6" t="n">
        <v>950</v>
      </c>
      <c r="K18" s="5"/>
      <c r="L18" s="5"/>
      <c r="M18" s="5"/>
      <c r="N18" s="6" t="n">
        <v>22160</v>
      </c>
      <c r="O18" s="6" t="n">
        <v>4352</v>
      </c>
      <c r="P18" s="5"/>
      <c r="Q18" s="5"/>
      <c r="R18" s="5"/>
      <c r="S18" s="6" t="n">
        <v>21969</v>
      </c>
      <c r="T18" s="6" t="n">
        <v>-248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-5215</v>
      </c>
      <c r="J19" s="6" t="n">
        <v>41268</v>
      </c>
      <c r="K19" s="5"/>
      <c r="L19" s="5"/>
      <c r="M19" s="5"/>
      <c r="N19" s="6" t="n">
        <v>-4031</v>
      </c>
      <c r="O19" s="6" t="n">
        <v>42107</v>
      </c>
      <c r="P19" s="5"/>
      <c r="Q19" s="5"/>
      <c r="R19" s="5"/>
      <c r="S19" s="6" t="n">
        <v>44624</v>
      </c>
      <c r="T19" s="6" t="n">
        <v>-14081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7.74</v>
      </c>
      <c r="G22" s="5"/>
      <c r="H22" s="5"/>
      <c r="I22" s="10" t="str">
        <f>301458-SUM(I23:I33)</f>
      </c>
      <c r="J22" s="10" t="str">
        <f>E22-I22</f>
      </c>
      <c r="K22" s="9" t="n">
        <v>8.45</v>
      </c>
      <c r="L22" s="5"/>
      <c r="M22" s="5"/>
      <c r="N22" s="10" t="str">
        <f>432418-SUM(N23:N33)</f>
      </c>
      <c r="O22" s="10" t="str">
        <f>E22-N22</f>
      </c>
      <c r="P22" s="9" t="n">
        <v>8.98</v>
      </c>
      <c r="Q22" s="5"/>
      <c r="R22" s="5"/>
      <c r="S22" s="10" t="str">
        <f>593541-SUM(S23:S33)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438690</v>
      </c>
      <c r="K34" s="5"/>
      <c r="L34" s="5"/>
      <c r="M34" s="5"/>
      <c r="N34" s="5"/>
      <c r="O34" s="6" t="n">
        <v>184285</v>
      </c>
      <c r="P34" s="5"/>
      <c r="Q34" s="5"/>
      <c r="R34" s="5"/>
      <c r="S34" s="5"/>
      <c r="T34" s="6" t="n">
        <v>425450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0.16</v>
      </c>
      <c r="K35" s="5"/>
      <c r="L35" s="5"/>
      <c r="M35" s="5"/>
      <c r="N35" s="5"/>
      <c r="O35" s="12" t="n">
        <v>0.061</v>
      </c>
      <c r="P35" s="5"/>
      <c r="Q35" s="5"/>
      <c r="R35" s="5"/>
      <c r="S35" s="5"/>
      <c r="T35" s="12" t="n">
        <v>0.157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0.225</v>
      </c>
      <c r="K36" s="5"/>
      <c r="L36" s="5"/>
      <c r="M36" s="5"/>
      <c r="N36" s="5"/>
      <c r="O36" s="12" t="n">
        <v>0.226</v>
      </c>
      <c r="P36" s="5"/>
      <c r="Q36" s="5"/>
      <c r="R36" s="5"/>
      <c r="S36" s="5"/>
      <c r="T36" s="12" t="n">
        <v>0.237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327</v>
      </c>
      <c r="G2" s="2"/>
      <c r="H2" s="2"/>
      <c r="I2" s="2"/>
      <c r="J2" s="2"/>
      <c r="K2" s="2" t="s">
        <v>328</v>
      </c>
      <c r="L2" s="2"/>
      <c r="M2" s="2"/>
      <c r="N2" s="2"/>
      <c r="O2" s="2"/>
      <c r="P2" s="2" t="s">
        <v>329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330</v>
      </c>
      <c r="G3" s="3"/>
      <c r="H3" s="3"/>
      <c r="I3" s="3"/>
      <c r="J3" s="3"/>
      <c r="K3" s="3" t="s">
        <v>331</v>
      </c>
      <c r="L3" s="3"/>
      <c r="M3" s="3"/>
      <c r="N3" s="3"/>
      <c r="O3" s="3"/>
      <c r="P3" s="3" t="s">
        <v>332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333</v>
      </c>
      <c r="G4" s="5" t="s">
        <v>334</v>
      </c>
      <c r="H4" s="5" t="n">
        <v>24</v>
      </c>
      <c r="I4" s="5" t="s">
        <v>335</v>
      </c>
      <c r="J4" s="5"/>
      <c r="K4" s="5" t="s">
        <v>336</v>
      </c>
      <c r="L4" s="5" t="s">
        <v>337</v>
      </c>
      <c r="M4" s="5" t="n">
        <v>8</v>
      </c>
      <c r="N4" s="5" t="s">
        <v>338</v>
      </c>
      <c r="O4" s="5"/>
      <c r="P4" s="5" t="s">
        <v>339</v>
      </c>
      <c r="Q4" s="5" t="s">
        <v>340</v>
      </c>
      <c r="R4" s="5" t="n">
        <v>13</v>
      </c>
      <c r="S4" s="5" t="s">
        <v>341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2624000</v>
      </c>
      <c r="G5" s="6" t="n">
        <v>0</v>
      </c>
      <c r="H5" s="6" t="str">
        <f>F5-G5</f>
      </c>
      <c r="I5" s="5"/>
      <c r="J5" s="5"/>
      <c r="K5" s="6" t="n">
        <v>2607000</v>
      </c>
      <c r="L5" s="6" t="n">
        <v>0</v>
      </c>
      <c r="M5" s="6" t="str">
        <f>K5-L5</f>
      </c>
      <c r="N5" s="5"/>
      <c r="O5" s="5"/>
      <c r="P5" s="6" t="n">
        <v>2708000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342</v>
      </c>
      <c r="G8" s="5" t="n">
        <v>1172</v>
      </c>
      <c r="H8" s="5" t="n">
        <v>24</v>
      </c>
      <c r="I8" s="5"/>
      <c r="J8" s="5"/>
      <c r="K8" s="5" t="s">
        <v>343</v>
      </c>
      <c r="L8" s="5" t="n">
        <v>116</v>
      </c>
      <c r="M8" s="5" t="n">
        <v>8</v>
      </c>
      <c r="N8" s="5"/>
      <c r="O8" s="5"/>
      <c r="P8" s="5" t="s">
        <v>344</v>
      </c>
      <c r="Q8" s="5" t="n">
        <v>574</v>
      </c>
      <c r="R8" s="5" t="n">
        <v>13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345</v>
      </c>
      <c r="G9" s="5" t="s">
        <v>36</v>
      </c>
      <c r="H9" s="5" t="s">
        <v>37</v>
      </c>
      <c r="I9" s="7" t="n">
        <v>-3157738613164</v>
      </c>
      <c r="J9" s="8" t="n">
        <v>-229241661536</v>
      </c>
      <c r="K9" s="5" t="s">
        <v>346</v>
      </c>
      <c r="L9" s="5" t="s">
        <v>36</v>
      </c>
      <c r="M9" s="5" t="s">
        <v>143</v>
      </c>
      <c r="N9" s="7" t="n">
        <v>-3112515777816</v>
      </c>
      <c r="O9" s="8" t="n">
        <v>-274464496884</v>
      </c>
      <c r="P9" s="5" t="s">
        <v>347</v>
      </c>
      <c r="Q9" s="5" t="s">
        <v>39</v>
      </c>
      <c r="R9" s="5" t="s">
        <v>37</v>
      </c>
      <c r="S9" s="7" t="n">
        <v>-3247679197275</v>
      </c>
      <c r="T9" s="8" t="n">
        <v>-139301077425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348</v>
      </c>
      <c r="G10" s="5"/>
      <c r="H10" s="5"/>
      <c r="I10" s="7" t="n">
        <v>50060</v>
      </c>
      <c r="J10" s="8" t="n">
        <v>13186</v>
      </c>
      <c r="K10" s="5" t="s">
        <v>349</v>
      </c>
      <c r="L10" s="5"/>
      <c r="M10" s="5"/>
      <c r="N10" s="7" t="n">
        <v>50759</v>
      </c>
      <c r="O10" s="8" t="n">
        <v>12487</v>
      </c>
      <c r="P10" s="5" t="s">
        <v>350</v>
      </c>
      <c r="Q10" s="5"/>
      <c r="R10" s="5"/>
      <c r="S10" s="7" t="n">
        <v>63756</v>
      </c>
      <c r="T10" s="8" t="n">
        <v>-510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351</v>
      </c>
      <c r="G11" s="5"/>
      <c r="H11" s="5"/>
      <c r="I11" s="7" t="n">
        <v>167904</v>
      </c>
      <c r="J11" s="8" t="n">
        <v>9000</v>
      </c>
      <c r="K11" s="5" t="s">
        <v>153</v>
      </c>
      <c r="L11" s="5"/>
      <c r="M11" s="5"/>
      <c r="N11" s="7" t="n">
        <v>169675</v>
      </c>
      <c r="O11" s="8" t="n">
        <v>7229</v>
      </c>
      <c r="P11" s="5" t="s">
        <v>352</v>
      </c>
      <c r="Q11" s="5"/>
      <c r="R11" s="5"/>
      <c r="S11" s="7" t="n">
        <v>201894</v>
      </c>
      <c r="T11" s="8" t="n">
        <v>-24990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353</v>
      </c>
      <c r="G12" s="5"/>
      <c r="H12" s="5"/>
      <c r="I12" s="6" t="n">
        <v>119756</v>
      </c>
      <c r="J12" s="6" t="n">
        <v>115547</v>
      </c>
      <c r="K12" s="5" t="s">
        <v>354</v>
      </c>
      <c r="L12" s="5"/>
      <c r="M12" s="5"/>
      <c r="N12" s="6" t="n">
        <v>190817</v>
      </c>
      <c r="O12" s="6" t="n">
        <v>33873</v>
      </c>
      <c r="P12" s="5" t="s">
        <v>355</v>
      </c>
      <c r="Q12" s="5"/>
      <c r="R12" s="5"/>
      <c r="S12" s="6" t="n">
        <v>50660</v>
      </c>
      <c r="T12" s="6" t="n">
        <v>198278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356</v>
      </c>
      <c r="G13" s="5"/>
      <c r="H13" s="5"/>
      <c r="I13" s="6" t="n">
        <v>-257743</v>
      </c>
      <c r="J13" s="6" t="n">
        <v>88803</v>
      </c>
      <c r="K13" s="5" t="s">
        <v>357</v>
      </c>
      <c r="L13" s="5"/>
      <c r="M13" s="5"/>
      <c r="N13" s="6" t="n">
        <v>-351907</v>
      </c>
      <c r="O13" s="6" t="n">
        <v>179356</v>
      </c>
      <c r="P13" s="5" t="s">
        <v>358</v>
      </c>
      <c r="Q13" s="5"/>
      <c r="R13" s="5"/>
      <c r="S13" s="6" t="n">
        <v>-123074</v>
      </c>
      <c r="T13" s="6" t="n">
        <v>-41752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66</v>
      </c>
      <c r="G14" s="5"/>
      <c r="H14" s="5"/>
      <c r="I14" s="6" t="n">
        <v>-2781</v>
      </c>
      <c r="J14" s="6" t="n">
        <v>0</v>
      </c>
      <c r="K14" s="5" t="s">
        <v>66</v>
      </c>
      <c r="L14" s="5"/>
      <c r="M14" s="5"/>
      <c r="N14" s="6" t="n">
        <v>-2741</v>
      </c>
      <c r="O14" s="6" t="n">
        <v>0</v>
      </c>
      <c r="P14" s="5" t="s">
        <v>66</v>
      </c>
      <c r="Q14" s="5"/>
      <c r="R14" s="5"/>
      <c r="S14" s="6" t="n">
        <v>-2857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67</v>
      </c>
      <c r="G15" s="5"/>
      <c r="H15" s="5"/>
      <c r="I15" s="6" t="n">
        <v>0</v>
      </c>
      <c r="J15" s="6" t="n">
        <v>0</v>
      </c>
      <c r="K15" s="5" t="s">
        <v>67</v>
      </c>
      <c r="L15" s="5"/>
      <c r="M15" s="5"/>
      <c r="N15" s="6" t="n">
        <v>0</v>
      </c>
      <c r="O15" s="6" t="n">
        <v>0</v>
      </c>
      <c r="P15" s="5" t="s">
        <v>67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70</v>
      </c>
      <c r="G16" s="5"/>
      <c r="H16" s="5"/>
      <c r="I16" s="6" t="n">
        <v>6338</v>
      </c>
      <c r="J16" s="6" t="n">
        <v>0</v>
      </c>
      <c r="K16" s="5" t="s">
        <v>67</v>
      </c>
      <c r="L16" s="5"/>
      <c r="M16" s="5"/>
      <c r="N16" s="6" t="n">
        <v>11662</v>
      </c>
      <c r="O16" s="6" t="n">
        <v>-5428</v>
      </c>
      <c r="P16" s="5" t="s">
        <v>67</v>
      </c>
      <c r="Q16" s="5"/>
      <c r="R16" s="5"/>
      <c r="S16" s="6" t="n">
        <v>12155</v>
      </c>
      <c r="T16" s="6" t="n">
        <v>-5658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-15934</v>
      </c>
      <c r="J17" s="6" t="n">
        <v>1670</v>
      </c>
      <c r="K17" s="5"/>
      <c r="L17" s="5"/>
      <c r="M17" s="5"/>
      <c r="N17" s="6" t="n">
        <v>-16618</v>
      </c>
      <c r="O17" s="6" t="n">
        <v>2553</v>
      </c>
      <c r="P17" s="5"/>
      <c r="Q17" s="5"/>
      <c r="R17" s="5"/>
      <c r="S17" s="6" t="n">
        <v>-20508</v>
      </c>
      <c r="T17" s="6" t="n">
        <v>5830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26110</v>
      </c>
      <c r="J18" s="6" t="n">
        <v>-560</v>
      </c>
      <c r="K18" s="5"/>
      <c r="L18" s="5"/>
      <c r="M18" s="5"/>
      <c r="N18" s="6" t="n">
        <v>25500</v>
      </c>
      <c r="O18" s="6" t="n">
        <v>-314</v>
      </c>
      <c r="P18" s="5"/>
      <c r="Q18" s="5"/>
      <c r="R18" s="5"/>
      <c r="S18" s="6" t="n">
        <v>25675</v>
      </c>
      <c r="T18" s="6" t="n">
        <v>585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44438</v>
      </c>
      <c r="J19" s="6" t="n">
        <v>-8388</v>
      </c>
      <c r="K19" s="5"/>
      <c r="L19" s="5"/>
      <c r="M19" s="5"/>
      <c r="N19" s="6" t="n">
        <v>51433</v>
      </c>
      <c r="O19" s="6" t="n">
        <v>-16012</v>
      </c>
      <c r="P19" s="5"/>
      <c r="Q19" s="5"/>
      <c r="R19" s="5"/>
      <c r="S19" s="6" t="n">
        <v>32915</v>
      </c>
      <c r="T19" s="6" t="n">
        <v>4308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6.25</v>
      </c>
      <c r="G22" s="5"/>
      <c r="H22" s="5"/>
      <c r="I22" s="10" t="str">
        <f>140029-SUM(I23:I33)</f>
      </c>
      <c r="J22" s="10" t="str">
        <f>E22-I22</f>
      </c>
      <c r="K22" s="9" t="n">
        <v>6.55</v>
      </c>
      <c r="L22" s="5"/>
      <c r="M22" s="5"/>
      <c r="N22" s="10" t="str">
        <f>158603-SUM(N23:N33)</f>
      </c>
      <c r="O22" s="10" t="str">
        <f>E22-N22</f>
      </c>
      <c r="P22" s="9" t="n">
        <v>6.52</v>
      </c>
      <c r="Q22" s="5"/>
      <c r="R22" s="5"/>
      <c r="S22" s="10" t="str">
        <f>156134-SUM(S23:S33)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548413</v>
      </c>
      <c r="K34" s="5"/>
      <c r="L34" s="5"/>
      <c r="M34" s="5"/>
      <c r="N34" s="5"/>
      <c r="O34" s="6" t="n">
        <v>565035</v>
      </c>
      <c r="P34" s="5"/>
      <c r="Q34" s="5"/>
      <c r="R34" s="5"/>
      <c r="S34" s="5"/>
      <c r="T34" s="6" t="n">
        <v>471882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0.209</v>
      </c>
      <c r="K35" s="5"/>
      <c r="L35" s="5"/>
      <c r="M35" s="5"/>
      <c r="N35" s="5"/>
      <c r="O35" s="12" t="n">
        <v>0.217</v>
      </c>
      <c r="P35" s="5"/>
      <c r="Q35" s="5"/>
      <c r="R35" s="5"/>
      <c r="S35" s="5"/>
      <c r="T35" s="12" t="n">
        <v>0.174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0.237</v>
      </c>
      <c r="K36" s="5"/>
      <c r="L36" s="5"/>
      <c r="M36" s="5"/>
      <c r="N36" s="5"/>
      <c r="O36" s="12" t="n">
        <v>0.241</v>
      </c>
      <c r="P36" s="5"/>
      <c r="Q36" s="5"/>
      <c r="R36" s="5"/>
      <c r="S36" s="5"/>
      <c r="T36" s="12" t="n">
        <v>0.244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359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360</v>
      </c>
      <c r="G2" s="2"/>
      <c r="H2" s="2"/>
      <c r="I2" s="2"/>
      <c r="J2" s="2"/>
      <c r="K2" s="2" t="s">
        <v>361</v>
      </c>
      <c r="L2" s="2"/>
      <c r="M2" s="2"/>
      <c r="N2" s="2"/>
      <c r="O2" s="2"/>
      <c r="P2" s="2" t="s">
        <v>362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363</v>
      </c>
      <c r="G3" s="3"/>
      <c r="H3" s="3"/>
      <c r="I3" s="3"/>
      <c r="J3" s="3"/>
      <c r="K3" s="3" t="s">
        <v>364</v>
      </c>
      <c r="L3" s="3"/>
      <c r="M3" s="3"/>
      <c r="N3" s="3"/>
      <c r="O3" s="3"/>
      <c r="P3" s="3" t="s">
        <v>365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366</v>
      </c>
      <c r="G4" s="5" t="s">
        <v>367</v>
      </c>
      <c r="H4" s="5" t="n">
        <v>15</v>
      </c>
      <c r="I4" s="5" t="s">
        <v>368</v>
      </c>
      <c r="J4" s="5"/>
      <c r="K4" s="5" t="s">
        <v>369</v>
      </c>
      <c r="L4" s="5" t="s">
        <v>370</v>
      </c>
      <c r="M4" s="5" t="n">
        <v>11</v>
      </c>
      <c r="N4" s="5" t="s">
        <v>371</v>
      </c>
      <c r="O4" s="5"/>
      <c r="P4" s="5" t="s">
        <v>372</v>
      </c>
      <c r="Q4" s="5" t="s">
        <v>373</v>
      </c>
      <c r="R4" s="5" t="n">
        <v>26</v>
      </c>
      <c r="S4" s="5" t="s">
        <v>97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3308000</v>
      </c>
      <c r="G5" s="6" t="n">
        <v>0</v>
      </c>
      <c r="H5" s="6" t="str">
        <f>F5-G5</f>
      </c>
      <c r="I5" s="5"/>
      <c r="J5" s="5"/>
      <c r="K5" s="6" t="n">
        <v>3710000</v>
      </c>
      <c r="L5" s="6" t="n">
        <v>0</v>
      </c>
      <c r="M5" s="6" t="str">
        <f>K5-L5</f>
      </c>
      <c r="N5" s="5"/>
      <c r="O5" s="5"/>
      <c r="P5" s="6" t="n">
        <v>2620000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374</v>
      </c>
      <c r="G8" s="5" t="n">
        <v>487</v>
      </c>
      <c r="H8" s="5" t="n">
        <v>15</v>
      </c>
      <c r="I8" s="5"/>
      <c r="J8" s="5"/>
      <c r="K8" s="5" t="s">
        <v>375</v>
      </c>
      <c r="L8" s="5" t="n">
        <v>1318</v>
      </c>
      <c r="M8" s="5" t="n">
        <v>11</v>
      </c>
      <c r="N8" s="5"/>
      <c r="O8" s="5"/>
      <c r="P8" s="5" t="s">
        <v>376</v>
      </c>
      <c r="Q8" s="5" t="n">
        <v>594</v>
      </c>
      <c r="R8" s="5" t="n">
        <v>26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-3386980274700</v>
      </c>
      <c r="F9" s="5" t="s">
        <v>107</v>
      </c>
      <c r="G9" s="5" t="s">
        <v>41</v>
      </c>
      <c r="H9" s="5" t="s">
        <v>37</v>
      </c>
      <c r="I9" s="7" t="n">
        <v>-3638051450211</v>
      </c>
      <c r="J9" s="8" t="n">
        <v>251071175511</v>
      </c>
      <c r="K9" s="5" t="s">
        <v>377</v>
      </c>
      <c r="L9" s="5" t="s">
        <v>142</v>
      </c>
      <c r="M9" s="5" t="s">
        <v>37</v>
      </c>
      <c r="N9" s="7" t="n">
        <v>-3957833835390</v>
      </c>
      <c r="O9" s="8" t="n">
        <v>570853560690</v>
      </c>
      <c r="P9" s="5" t="s">
        <v>378</v>
      </c>
      <c r="Q9" s="5" t="s">
        <v>248</v>
      </c>
      <c r="R9" s="5" t="s">
        <v>44</v>
      </c>
      <c r="S9" s="7" t="n">
        <v>-3136168471902</v>
      </c>
      <c r="T9" s="8" t="n">
        <v>-250811802798</v>
      </c>
    </row>
    <row r="10">
      <c r="A10" s="4" t="s">
        <v>45</v>
      </c>
      <c r="B10" s="5" t="s">
        <v>46</v>
      </c>
      <c r="C10" s="5"/>
      <c r="D10" s="5"/>
      <c r="E10" s="7" t="n">
        <v>63246</v>
      </c>
      <c r="F10" s="5" t="s">
        <v>379</v>
      </c>
      <c r="G10" s="5"/>
      <c r="H10" s="5"/>
      <c r="I10" s="7" t="n">
        <v>70371</v>
      </c>
      <c r="J10" s="8" t="n">
        <v>-7125</v>
      </c>
      <c r="K10" s="5" t="s">
        <v>380</v>
      </c>
      <c r="L10" s="5"/>
      <c r="M10" s="5"/>
      <c r="N10" s="7" t="n">
        <v>77495</v>
      </c>
      <c r="O10" s="8" t="n">
        <v>-14249</v>
      </c>
      <c r="P10" s="5" t="s">
        <v>381</v>
      </c>
      <c r="Q10" s="5"/>
      <c r="R10" s="5"/>
      <c r="S10" s="7" t="n">
        <v>64777</v>
      </c>
      <c r="T10" s="8" t="n">
        <v>-1531</v>
      </c>
    </row>
    <row r="11">
      <c r="A11" s="4" t="s">
        <v>50</v>
      </c>
      <c r="B11" s="5" t="s">
        <v>51</v>
      </c>
      <c r="C11" s="5"/>
      <c r="D11" s="5"/>
      <c r="E11" s="7" t="n">
        <v>176904</v>
      </c>
      <c r="F11" s="5" t="s">
        <v>286</v>
      </c>
      <c r="G11" s="5"/>
      <c r="H11" s="5"/>
      <c r="I11" s="7" t="n">
        <v>220310</v>
      </c>
      <c r="J11" s="8" t="n">
        <v>-43406</v>
      </c>
      <c r="K11" s="5" t="s">
        <v>382</v>
      </c>
      <c r="L11" s="5"/>
      <c r="M11" s="5"/>
      <c r="N11" s="7" t="n">
        <v>255962</v>
      </c>
      <c r="O11" s="8" t="n">
        <v>-79058</v>
      </c>
      <c r="P11" s="5" t="s">
        <v>116</v>
      </c>
      <c r="Q11" s="5"/>
      <c r="R11" s="5"/>
      <c r="S11" s="7" t="n">
        <v>163710</v>
      </c>
      <c r="T11" s="8" t="n">
        <v>13194</v>
      </c>
    </row>
    <row r="12">
      <c r="A12" s="4" t="s">
        <v>55</v>
      </c>
      <c r="B12" s="5" t="s">
        <v>56</v>
      </c>
      <c r="C12" s="5"/>
      <c r="D12" s="5"/>
      <c r="E12" s="6" t="n">
        <v>241167</v>
      </c>
      <c r="F12" s="5" t="s">
        <v>383</v>
      </c>
      <c r="G12" s="5"/>
      <c r="H12" s="5"/>
      <c r="I12" s="6" t="n">
        <v>89189</v>
      </c>
      <c r="J12" s="6" t="n">
        <v>186867</v>
      </c>
      <c r="K12" s="5" t="s">
        <v>384</v>
      </c>
      <c r="L12" s="5"/>
      <c r="M12" s="5"/>
      <c r="N12" s="6" t="n">
        <v>233206</v>
      </c>
      <c r="O12" s="6" t="n">
        <v>53215</v>
      </c>
      <c r="P12" s="5" t="s">
        <v>385</v>
      </c>
      <c r="Q12" s="5"/>
      <c r="R12" s="5"/>
      <c r="S12" s="6" t="n">
        <v>42552</v>
      </c>
      <c r="T12" s="6" t="n">
        <v>198289</v>
      </c>
    </row>
    <row r="13">
      <c r="A13" s="4" t="s">
        <v>60</v>
      </c>
      <c r="B13" s="5" t="s">
        <v>61</v>
      </c>
      <c r="C13" s="5"/>
      <c r="D13" s="5"/>
      <c r="E13" s="6" t="n">
        <v>-174951</v>
      </c>
      <c r="F13" s="5" t="s">
        <v>386</v>
      </c>
      <c r="G13" s="5"/>
      <c r="H13" s="5"/>
      <c r="I13" s="6" t="n">
        <v>92460</v>
      </c>
      <c r="J13" s="6" t="n">
        <v>-263169</v>
      </c>
      <c r="K13" s="5" t="s">
        <v>387</v>
      </c>
      <c r="L13" s="5"/>
      <c r="M13" s="5"/>
      <c r="N13" s="6" t="n">
        <v>199734</v>
      </c>
      <c r="O13" s="6" t="n">
        <v>-379124</v>
      </c>
      <c r="P13" s="5" t="s">
        <v>388</v>
      </c>
      <c r="Q13" s="5"/>
      <c r="R13" s="5"/>
      <c r="S13" s="6" t="n">
        <v>-191299</v>
      </c>
      <c r="T13" s="6" t="n">
        <v>27781</v>
      </c>
    </row>
    <row r="14">
      <c r="A14" s="4" t="s">
        <v>65</v>
      </c>
      <c r="B14" s="5" t="s">
        <v>66</v>
      </c>
      <c r="C14" s="5"/>
      <c r="D14" s="5"/>
      <c r="E14" s="6" t="n">
        <v>-2982</v>
      </c>
      <c r="F14" s="5" t="s">
        <v>195</v>
      </c>
      <c r="G14" s="5"/>
      <c r="H14" s="5"/>
      <c r="I14" s="6" t="n">
        <v>122621</v>
      </c>
      <c r="J14" s="6" t="n">
        <v>-125685</v>
      </c>
      <c r="K14" s="5" t="s">
        <v>195</v>
      </c>
      <c r="L14" s="5"/>
      <c r="M14" s="5"/>
      <c r="N14" s="6" t="n">
        <v>133251</v>
      </c>
      <c r="O14" s="6" t="n">
        <v>-136580</v>
      </c>
      <c r="P14" s="5" t="s">
        <v>66</v>
      </c>
      <c r="Q14" s="5"/>
      <c r="R14" s="5"/>
      <c r="S14" s="6" t="n">
        <v>-2756</v>
      </c>
      <c r="T14" s="6" t="n">
        <v>0</v>
      </c>
    </row>
    <row r="15">
      <c r="A15" s="4" t="s">
        <v>68</v>
      </c>
      <c r="B15" s="5" t="s">
        <v>67</v>
      </c>
      <c r="C15" s="5"/>
      <c r="D15" s="5"/>
      <c r="E15" s="6" t="n">
        <v>0</v>
      </c>
      <c r="F15" s="5" t="s">
        <v>67</v>
      </c>
      <c r="G15" s="5"/>
      <c r="H15" s="5"/>
      <c r="I15" s="6" t="n">
        <v>0</v>
      </c>
      <c r="J15" s="6" t="n">
        <v>0</v>
      </c>
      <c r="K15" s="5" t="s">
        <v>67</v>
      </c>
      <c r="L15" s="5"/>
      <c r="M15" s="5"/>
      <c r="N15" s="6" t="n">
        <v>0</v>
      </c>
      <c r="O15" s="6" t="n">
        <v>0</v>
      </c>
      <c r="P15" s="5" t="s">
        <v>67</v>
      </c>
      <c r="Q15" s="5"/>
      <c r="R15" s="5"/>
      <c r="S15" s="6" t="n">
        <v>0</v>
      </c>
      <c r="T15" s="6" t="n">
        <v>0</v>
      </c>
    </row>
    <row r="16">
      <c r="A16" s="4" t="s">
        <v>69</v>
      </c>
      <c r="B16" s="5" t="s">
        <v>70</v>
      </c>
      <c r="C16" s="5"/>
      <c r="D16" s="5"/>
      <c r="E16" s="6" t="n">
        <v>6798</v>
      </c>
      <c r="F16" s="5" t="s">
        <v>67</v>
      </c>
      <c r="G16" s="5"/>
      <c r="H16" s="5"/>
      <c r="I16" s="6" t="n">
        <v>13636</v>
      </c>
      <c r="J16" s="6" t="n">
        <v>-6347</v>
      </c>
      <c r="K16" s="5" t="s">
        <v>70</v>
      </c>
      <c r="L16" s="5"/>
      <c r="M16" s="5"/>
      <c r="N16" s="6" t="n">
        <v>7938</v>
      </c>
      <c r="O16" s="6" t="n">
        <v>0</v>
      </c>
      <c r="P16" s="5" t="s">
        <v>67</v>
      </c>
      <c r="Q16" s="5"/>
      <c r="R16" s="5"/>
      <c r="S16" s="6" t="n">
        <v>11729</v>
      </c>
      <c r="T16" s="6" t="n">
        <v>-5459</v>
      </c>
    </row>
    <row r="17">
      <c r="A17" s="4" t="s">
        <v>71</v>
      </c>
      <c r="B17" s="5"/>
      <c r="C17" s="5"/>
      <c r="D17" s="5"/>
      <c r="E17" s="6" t="n">
        <v>-15289</v>
      </c>
      <c r="F17" s="5"/>
      <c r="G17" s="5"/>
      <c r="H17" s="5"/>
      <c r="I17" s="6" t="n">
        <v>-16041</v>
      </c>
      <c r="J17" s="6" t="n">
        <v>-386</v>
      </c>
      <c r="K17" s="5"/>
      <c r="L17" s="5"/>
      <c r="M17" s="5"/>
      <c r="N17" s="6" t="n">
        <v>22774</v>
      </c>
      <c r="O17" s="6" t="n">
        <v>-40395</v>
      </c>
      <c r="P17" s="5"/>
      <c r="Q17" s="5"/>
      <c r="R17" s="5"/>
      <c r="S17" s="6" t="n">
        <v>-21845</v>
      </c>
      <c r="T17" s="6" t="n">
        <v>7670</v>
      </c>
    </row>
    <row r="18">
      <c r="A18" s="4" t="s">
        <v>72</v>
      </c>
      <c r="B18" s="5"/>
      <c r="C18" s="5"/>
      <c r="D18" s="5"/>
      <c r="E18" s="6" t="n">
        <v>27411</v>
      </c>
      <c r="F18" s="5"/>
      <c r="G18" s="5"/>
      <c r="H18" s="5"/>
      <c r="I18" s="6" t="n">
        <v>-32992</v>
      </c>
      <c r="J18" s="6" t="n">
        <v>63095</v>
      </c>
      <c r="K18" s="5"/>
      <c r="L18" s="5"/>
      <c r="M18" s="5"/>
      <c r="N18" s="6" t="n">
        <v>-52562</v>
      </c>
      <c r="O18" s="6" t="n">
        <v>85448</v>
      </c>
      <c r="P18" s="5"/>
      <c r="Q18" s="5"/>
      <c r="R18" s="5"/>
      <c r="S18" s="6" t="n">
        <v>25601</v>
      </c>
      <c r="T18" s="6" t="n">
        <v>-270</v>
      </c>
    </row>
    <row r="19">
      <c r="A19" s="4" t="s">
        <v>73</v>
      </c>
      <c r="B19" s="5"/>
      <c r="C19" s="5"/>
      <c r="D19" s="5"/>
      <c r="E19" s="6" t="n">
        <v>38798</v>
      </c>
      <c r="F19" s="5"/>
      <c r="G19" s="5"/>
      <c r="H19" s="5"/>
      <c r="I19" s="6" t="n">
        <v>10516</v>
      </c>
      <c r="J19" s="6" t="n">
        <v>31634</v>
      </c>
      <c r="K19" s="5"/>
      <c r="L19" s="5"/>
      <c r="M19" s="5"/>
      <c r="N19" s="6" t="n">
        <v>-2852</v>
      </c>
      <c r="O19" s="6" t="n">
        <v>48867</v>
      </c>
      <c r="P19" s="5"/>
      <c r="Q19" s="5"/>
      <c r="R19" s="5"/>
      <c r="S19" s="6" t="n">
        <v>38549</v>
      </c>
      <c r="T19" s="6" t="n">
        <v>-2731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74</v>
      </c>
      <c r="B21" s="3" t="s">
        <v>75</v>
      </c>
      <c r="C21" s="3"/>
      <c r="D21" s="3"/>
      <c r="E21" s="3" t="s">
        <v>26</v>
      </c>
      <c r="F21" s="3" t="s">
        <v>76</v>
      </c>
      <c r="G21" s="3"/>
      <c r="H21" s="3"/>
      <c r="I21" s="3" t="s">
        <v>26</v>
      </c>
      <c r="J21" s="3" t="s">
        <v>27</v>
      </c>
      <c r="K21" s="3" t="s">
        <v>76</v>
      </c>
      <c r="L21" s="3"/>
      <c r="M21" s="3"/>
      <c r="N21" s="3" t="s">
        <v>26</v>
      </c>
      <c r="O21" s="3" t="s">
        <v>27</v>
      </c>
      <c r="P21" s="3" t="s">
        <v>76</v>
      </c>
      <c r="Q21" s="3"/>
      <c r="R21" s="3"/>
      <c r="S21" s="3" t="s">
        <v>26</v>
      </c>
      <c r="T21" s="3" t="s">
        <v>27</v>
      </c>
    </row>
    <row r="22">
      <c r="A22" s="4" t="s">
        <v>77</v>
      </c>
      <c r="B22" s="9" t="n">
        <v>9.1</v>
      </c>
      <c r="C22" s="2"/>
      <c r="D22" s="2"/>
      <c r="E22" s="11" t="str">
        <f>510045-SUM(E23:E33)</f>
      </c>
      <c r="F22" s="9" t="n">
        <v>8.5</v>
      </c>
      <c r="G22" s="5"/>
      <c r="H22" s="5"/>
      <c r="I22" s="10" t="str">
        <f>445134-SUM(I23:I33)</f>
      </c>
      <c r="J22" s="10" t="str">
        <f>E22-I22</f>
      </c>
      <c r="K22" s="9" t="n">
        <v>9</v>
      </c>
      <c r="L22" s="5"/>
      <c r="M22" s="5"/>
      <c r="N22" s="10" t="str">
        <f>598970-SUM(N23:N33)</f>
      </c>
      <c r="O22" s="10" t="str">
        <f>E22-N22</f>
      </c>
      <c r="P22" s="9" t="n">
        <v>6.54</v>
      </c>
      <c r="Q22" s="5"/>
      <c r="R22" s="5"/>
      <c r="S22" s="10" t="str">
        <f>157589-SUM(S23:S33)</f>
      </c>
      <c r="T22" s="10" t="str">
        <f>E22-S22</f>
      </c>
    </row>
    <row r="23">
      <c r="A23" s="4" t="s">
        <v>78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79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80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81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82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83</v>
      </c>
      <c r="B34" s="5"/>
      <c r="C34" s="5"/>
      <c r="D34" s="5"/>
      <c r="E34" s="6" t="n">
        <v>-3386979913598</v>
      </c>
      <c r="F34" s="5"/>
      <c r="G34" s="5"/>
      <c r="H34" s="5"/>
      <c r="I34" s="5"/>
      <c r="J34" s="6" t="n">
        <v>-118054</v>
      </c>
      <c r="K34" s="5"/>
      <c r="L34" s="5"/>
      <c r="M34" s="5"/>
      <c r="N34" s="5"/>
      <c r="O34" s="6" t="n">
        <v>-540084</v>
      </c>
      <c r="P34" s="5"/>
      <c r="Q34" s="5"/>
      <c r="R34" s="5"/>
      <c r="S34" s="5"/>
      <c r="T34" s="6" t="n">
        <v>554504</v>
      </c>
    </row>
    <row r="35">
      <c r="A35" s="4" t="s">
        <v>84</v>
      </c>
      <c r="B35" s="5"/>
      <c r="C35" s="5"/>
      <c r="D35" s="5"/>
      <c r="E35" s="5"/>
      <c r="F35" s="5"/>
      <c r="G35" s="5"/>
      <c r="H35" s="5"/>
      <c r="I35" s="5"/>
      <c r="J35" s="12" t="n">
        <v>-0.036</v>
      </c>
      <c r="K35" s="5"/>
      <c r="L35" s="5"/>
      <c r="M35" s="5"/>
      <c r="N35" s="5"/>
      <c r="O35" s="12" t="n">
        <v>-0.146</v>
      </c>
      <c r="P35" s="5"/>
      <c r="Q35" s="5"/>
      <c r="R35" s="5"/>
      <c r="S35" s="5"/>
      <c r="T35" s="12" t="n">
        <v>0.212</v>
      </c>
    </row>
    <row r="36">
      <c r="A36" s="4" t="s">
        <v>85</v>
      </c>
      <c r="B36" s="5"/>
      <c r="C36" s="5"/>
      <c r="D36" s="5"/>
      <c r="E36" s="5"/>
      <c r="F36" s="5"/>
      <c r="G36" s="5"/>
      <c r="H36" s="5"/>
      <c r="I36" s="5"/>
      <c r="J36" s="12" t="n">
        <v>0.245</v>
      </c>
      <c r="K36" s="5"/>
      <c r="L36" s="5"/>
      <c r="M36" s="5"/>
      <c r="N36" s="5"/>
      <c r="O36" s="12" t="n">
        <v>0.248</v>
      </c>
      <c r="P36" s="5"/>
      <c r="Q36" s="5"/>
      <c r="R36" s="5"/>
      <c r="S36" s="5"/>
      <c r="T36" s="12" t="n">
        <v>0.248</v>
      </c>
    </row>
    <row r="37">
      <c r="A37" s="14" t="s">
        <v>86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claude-code</dc:creator>
  <cp:lastModifiedBy>claude-code</cp:lastModifiedBy>
  <dcterms:created xsi:type="dcterms:W3CDTF">2026-03-25T14:32:27Z</dcterms:created>
</coreProperties>
</file>