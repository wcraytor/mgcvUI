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s 1-3" sheetId="1" state="visible" r:id="rId1"/>
    <sheet name="Comps 4-6" sheetId="2" state="visible" r:id="rId2"/>
    <sheet name="Comps 7-9" sheetId="3" state="visible" r:id="rId3"/>
    <sheet name="Comps 10-12" sheetId="4" state="visible" r:id="rId4"/>
    <sheet name="Comps 13-15" sheetId="5" state="visible" r:id="rId5"/>
    <sheet name="Comps 16-18" sheetId="6" state="visible" r:id="rId6"/>
  </sheets>
</workbook>
</file>

<file path=xl/sharedStrings.xml><?xml version="1.0" encoding="utf-8"?>
<sst xmlns="http://schemas.openxmlformats.org/spreadsheetml/2006/main" count="125" uniqueCount="125">
  <si>
    <t xml:space="preserve">Intermediate Sales Comparable Grid: Comps 1-3</t>
  </si>
  <si>
    <t xml:space="preserve">Subject</t>
  </si>
  <si>
    <t xml:space="preserve">Comparable Sale No. 1</t>
  </si>
  <si>
    <t xml:space="preserve">Comparable Sale No. 2</t>
  </si>
  <si>
    <t xml:space="preserve">Comparable Sale No. 3</t>
  </si>
  <si>
    <t xml:space="preserve">Street, City, State Zip</t>
  </si>
  <si>
    <t xml:space="preserve">1145 Cottonwood Lane, Valleybrook 93712</t>
  </si>
  <si>
    <t xml:space="preserve">2330 Copper Creek Way, Valleybrook 93712</t>
  </si>
  <si>
    <t xml:space="preserve">1449 Ivy Glen Lane, Valleybrook 93711</t>
  </si>
  <si>
    <t xml:space="preserve">1214 Cypress Point Drive, Valleybrook 93713</t>
  </si>
  <si>
    <t xml:space="preserve">APN | MLS# | DOM | Subj.Prox</t>
  </si>
  <si>
    <t xml:space="preserve">761-160-21</t>
  </si>
  <si>
    <t xml:space="preserve">0.00 mi</t>
  </si>
  <si>
    <t xml:space="preserve">564-488-51</t>
  </si>
  <si>
    <t xml:space="preserve">AN97161631</t>
  </si>
  <si>
    <t xml:space="preserve">0.71 mi</t>
  </si>
  <si>
    <t xml:space="preserve">418-727-53</t>
  </si>
  <si>
    <t xml:space="preserve">AN19562056</t>
  </si>
  <si>
    <t xml:space="preserve">0.77 mi</t>
  </si>
  <si>
    <t xml:space="preserve">717-140-19</t>
  </si>
  <si>
    <t xml:space="preserve">AN91197624</t>
  </si>
  <si>
    <t xml:space="preserve">0.09 mi</t>
  </si>
  <si>
    <t xml:space="preserve">Sales Price | Concess. | Net SP</t>
  </si>
  <si>
    <t xml:space="preserve">N/A</t>
  </si>
  <si>
    <t xml:space="preserve">Regression Features</t>
  </si>
  <si>
    <t xml:space="preserve">Factual Value</t>
  </si>
  <si>
    <t xml:space="preserve">Value Contrib.</t>
  </si>
  <si>
    <t xml:space="preserve">Adjustment</t>
  </si>
  <si>
    <t xml:space="preserve">BASE VALUE</t>
  </si>
  <si>
    <t xml:space="preserve">Date of Sale | OffMkt | OnMkt</t>
  </si>
  <si>
    <t xml:space="preserve">Loc: Long | Lat | Area</t>
  </si>
  <si>
    <t xml:space="preserve">Site Size | Dimensions</t>
  </si>
  <si>
    <t xml:space="preserve">Actual Age | Effective Age</t>
  </si>
  <si>
    <t xml:space="preserve">Sale Age</t>
  </si>
  <si>
    <t xml:space="preserve">Living SF</t>
  </si>
  <si>
    <t xml:space="preserve">Beds</t>
  </si>
  <si>
    <t xml:space="preserve">Baths</t>
  </si>
  <si>
    <t xml:space="preserve">Garage</t>
  </si>
  <si>
    <t xml:space="preserve">Living SF,Sale Age</t>
  </si>
  <si>
    <t xml:space="preserve">Beds,Living SF</t>
  </si>
  <si>
    <t xml:space="preserve">Baths,Living SF</t>
  </si>
  <si>
    <t xml:space="preserve">Latitude,Longitude</t>
  </si>
  <si>
    <t xml:space="preserve">Residual Features</t>
  </si>
  <si>
    <t xml:space="preserve">CQA / Description</t>
  </si>
  <si>
    <t xml:space="preserve">Description</t>
  </si>
  <si>
    <t xml:space="preserve">CQA | Residual</t>
  </si>
  <si>
    <t xml:space="preserve">View</t>
  </si>
  <si>
    <t xml:space="preserve">Design</t>
  </si>
  <si>
    <t xml:space="preserve">Quality of Construction</t>
  </si>
  <si>
    <t xml:space="preserve">Condition</t>
  </si>
  <si>
    <t xml:space="preserve">Functional Utility</t>
  </si>
  <si>
    <t xml:space="preserve">Total VC / Net Adjustment</t>
  </si>
  <si>
    <t xml:space="preserve">Net Adjustment %</t>
  </si>
  <si>
    <t xml:space="preserve">Gross Adjustment %</t>
  </si>
  <si>
    <t xml:space="preserve">Adjusted Sale Price</t>
  </si>
  <si>
    <t xml:space="preserve">Generated by earthUI 2026-03-24  |  Copyright 2022-2026, Pacific Vista Net</t>
  </si>
  <si>
    <t xml:space="preserve">Intermediate Sales Comparable Grid: Comps 4-6</t>
  </si>
  <si>
    <t xml:space="preserve">Comparable Sale No. 4</t>
  </si>
  <si>
    <t xml:space="preserve">Comparable Sale No. 5</t>
  </si>
  <si>
    <t xml:space="preserve">Comparable Sale No. 6</t>
  </si>
  <si>
    <t xml:space="preserve">1201 Boulder Creek Drive, Valleybrook 93711</t>
  </si>
  <si>
    <t xml:space="preserve">1421 Cypress Point Drive, Valleybrook 93712</t>
  </si>
  <si>
    <t xml:space="preserve">1140 Juniper Ridge Road, Valleybrook 93711</t>
  </si>
  <si>
    <t xml:space="preserve">221-282-78</t>
  </si>
  <si>
    <t xml:space="preserve">AN56676884</t>
  </si>
  <si>
    <t xml:space="preserve">0.18 mi</t>
  </si>
  <si>
    <t xml:space="preserve">355-338-42</t>
  </si>
  <si>
    <t xml:space="preserve">AN88135616</t>
  </si>
  <si>
    <t xml:space="preserve">0.52 mi</t>
  </si>
  <si>
    <t xml:space="preserve">697-591-31</t>
  </si>
  <si>
    <t xml:space="preserve">AN16892773</t>
  </si>
  <si>
    <t xml:space="preserve">Intermediate Sales Comparable Grid: Comps 7-9</t>
  </si>
  <si>
    <t xml:space="preserve">Comparable Sale No. 7</t>
  </si>
  <si>
    <t xml:space="preserve">Comparable Sale No. 8</t>
  </si>
  <si>
    <t xml:space="preserve">Comparable Sale No. 9</t>
  </si>
  <si>
    <t xml:space="preserve">2105 Morning Star Drive, Valleybrook 93711</t>
  </si>
  <si>
    <t xml:space="preserve">1108 Sand Piper Way, Valleybrook 93711</t>
  </si>
  <si>
    <t xml:space="preserve">785 Falcon Ridge Drive, Valleybrook 93711</t>
  </si>
  <si>
    <t xml:space="preserve">566-245-11</t>
  </si>
  <si>
    <t xml:space="preserve">AN54581131</t>
  </si>
  <si>
    <t xml:space="preserve">0.50 mi</t>
  </si>
  <si>
    <t xml:space="preserve">790-183-44</t>
  </si>
  <si>
    <t xml:space="preserve">AN16679008</t>
  </si>
  <si>
    <t xml:space="preserve">0.05 mi</t>
  </si>
  <si>
    <t xml:space="preserve">525-211-65</t>
  </si>
  <si>
    <t xml:space="preserve">AN30634593</t>
  </si>
  <si>
    <t xml:space="preserve">0.60 mi</t>
  </si>
  <si>
    <t xml:space="preserve">Intermediate Sales Comparable Grid: Comps 10-12</t>
  </si>
  <si>
    <t xml:space="preserve">Comparable Sale No. 10</t>
  </si>
  <si>
    <t xml:space="preserve">Comparable Sale No. 11</t>
  </si>
  <si>
    <t xml:space="preserve">Comparable Sale No. 12</t>
  </si>
  <si>
    <t xml:space="preserve">1614 Boulder Creek Drive, Valleybrook 93710</t>
  </si>
  <si>
    <t xml:space="preserve">1437 Oak Valley Drive, Valleybrook 93710</t>
  </si>
  <si>
    <t xml:space="preserve">2408 Poplar Avenue, Valleybrook 93711</t>
  </si>
  <si>
    <t xml:space="preserve">416-342-64</t>
  </si>
  <si>
    <t xml:space="preserve">AN26650536</t>
  </si>
  <si>
    <t xml:space="preserve">0.30 mi</t>
  </si>
  <si>
    <t xml:space="preserve">112-569-73</t>
  </si>
  <si>
    <t xml:space="preserve">AN43971980</t>
  </si>
  <si>
    <t xml:space="preserve">0.53 mi</t>
  </si>
  <si>
    <t xml:space="preserve">898-740-24</t>
  </si>
  <si>
    <t xml:space="preserve">AN37675805</t>
  </si>
  <si>
    <t xml:space="preserve">0.61 mi</t>
  </si>
  <si>
    <t xml:space="preserve">Intermediate Sales Comparable Grid: Comps 13-15</t>
  </si>
  <si>
    <t xml:space="preserve">Comparable Sale No. 13</t>
  </si>
  <si>
    <t xml:space="preserve">Comparable Sale No. 14</t>
  </si>
  <si>
    <t xml:space="preserve">Comparable Sale No. 15</t>
  </si>
  <si>
    <t xml:space="preserve">2130 Golden Eagle Lane, Valleybrook 93713</t>
  </si>
  <si>
    <t xml:space="preserve">1232 Bluebird Ridge Road, Valleybrook 93711</t>
  </si>
  <si>
    <t xml:space="preserve">1551 Deer Trail Lane, Valleybrook 93710</t>
  </si>
  <si>
    <t xml:space="preserve">408-827-52</t>
  </si>
  <si>
    <t xml:space="preserve">AN57328711</t>
  </si>
  <si>
    <t xml:space="preserve">0.62 mi</t>
  </si>
  <si>
    <t xml:space="preserve">281-507-50</t>
  </si>
  <si>
    <t xml:space="preserve">AN52168966</t>
  </si>
  <si>
    <t xml:space="preserve">0.14 mi</t>
  </si>
  <si>
    <t xml:space="preserve">402-555-76</t>
  </si>
  <si>
    <t xml:space="preserve">AN21278067</t>
  </si>
  <si>
    <t xml:space="preserve">1.69 mi</t>
  </si>
  <si>
    <t xml:space="preserve">Intermediate Sales Comparable Grid: Comps 16-18</t>
  </si>
  <si>
    <t xml:space="preserve">Comparable Sale No. 16</t>
  </si>
  <si>
    <t xml:space="preserve">1438 Ridgeline Drive, Valleybrook 93710</t>
  </si>
  <si>
    <t xml:space="preserve">673-626-23</t>
  </si>
  <si>
    <t xml:space="preserve">AN93610257</t>
  </si>
  <si>
    <t xml:space="preserve">0.33 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</si>
</sst>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6" formatCode="#,##0"/>
    <numFmt numFmtId="167" formatCode="#,##0"/>
    <numFmt numFmtId="169" formatCode="0.00"/>
    <numFmt numFmtId="168" formatCode="#,##0"/>
    <numFmt numFmtId="171" formatCode="0.0%"/>
    <numFmt numFmtId="172" formatCode="#,##0"/>
    <numFmt numFmtId="170" formatCode="#,##0"/>
  </numFmts>
  <fonts count="4">
    <font>
      <sz val="9"/>
      <color rgb="FF000000"/>
      <name val="Arial Narrow"/>
    </font>
    <font>
      <sz val="11"/>
      <color rgb="FFFFFFFF"/>
      <name val="Arial Narrow"/>
      <b/>
    </font>
    <font>
      <sz val="9"/>
      <color rgb="FF000000"/>
      <name val="Arial Narrow"/>
      <b/>
    </font>
    <font>
      <sz val="9"/>
      <color rgb="FFC00000"/>
      <name val="Arial Narrow"/>
      <b/>
    </font>
  </fonts>
  <fills count="9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CCCCFF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DAEEF3"/>
      </patternFill>
    </fill>
    <fill>
      <patternFill patternType="solid">
        <fgColor rgb="FFFFF2CC"/>
      </patternFill>
    </fill>
    <fill>
      <patternFill patternType="solid">
        <fgColor rgb="FFFFFFDD"/>
      </patternFill>
    </fill>
  </fills>
  <borders count="3">
    <border>
      <left/>
      <right/>
      <top/>
      <bottom/>
      <diagonal/>
    </border>
    <border>
      <left style="thick">
        <color rgb="FF002060"/>
      </left>
      <right style="thick">
        <color rgb="FF002060"/>
      </right>
      <top style="thick">
        <color rgb="FF002060"/>
      </top>
      <bottom style="thick">
        <color rgb="FF002060"/>
      </bottom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0" fillId="5" borderId="2" xfId="0" applyFont="1" applyFill="1" applyBorder="1" applyAlignment="1">
      <alignment horizontal="center" vertical="center"/>
    </xf>
    <xf numFmtId="166" fontId="0" fillId="5" borderId="2" xfId="0" applyFont="1" applyNumberFormat="1" applyFill="1" applyBorder="1" applyAlignment="1">
      <alignment horizontal="center" vertical="center"/>
    </xf>
    <xf numFmtId="167" fontId="0" fillId="6" borderId="2" xfId="0" applyFont="1" applyNumberFormat="1" applyFill="1" applyBorder="1" applyAlignment="1">
      <alignment horizontal="right" vertical="center"/>
    </xf>
    <xf numFmtId="166" fontId="0" fillId="5" borderId="2" xfId="0" applyFont="1" applyNumberFormat="1" applyFill="1" applyBorder="1" applyAlignment="1">
      <alignment horizontal="right" vertical="center"/>
    </xf>
    <xf numFmtId="169" fontId="0" fillId="5" borderId="2" xfId="0" applyFont="1" applyNumberFormat="1" applyFill="1" applyBorder="1" applyAlignment="1">
      <alignment horizontal="center" vertical="center"/>
    </xf>
    <xf numFmtId="168" fontId="3" fillId="5" borderId="2" xfId="0" applyFont="1" applyNumberFormat="1" applyFill="1" applyBorder="1" applyAlignment="1">
      <alignment horizontal="center" vertical="center"/>
    </xf>
    <xf numFmtId="168" fontId="3" fillId="7" borderId="2" xfId="0" applyFont="1" applyNumberFormat="1" applyFill="1" applyBorder="1" applyAlignment="1">
      <alignment horizontal="right" vertical="center"/>
    </xf>
    <xf numFmtId="171" fontId="0" fillId="5" borderId="2" xfId="0" applyFont="1" applyNumberFormat="1" applyFill="1" applyBorder="1" applyAlignment="1">
      <alignment horizontal="center" vertical="center"/>
    </xf>
    <xf numFmtId="172" fontId="2" fillId="3" borderId="2" xfId="0" applyFont="1" applyNumberFormat="1" applyFill="1" applyBorder="1" applyAlignment="1">
      <alignment horizontal="center" vertical="center"/>
    </xf>
    <xf numFmtId="172" fontId="2" fillId="3" borderId="2" xfId="0" applyFont="1" applyNumberFormat="1" applyFill="1" applyBorder="1" applyAlignment="1">
      <alignment horizontal="left" vertical="center"/>
    </xf>
    <xf numFmtId="0" fontId="0" fillId="3" borderId="1" xfId="0" applyFont="1" applyFill="1" applyBorder="1" applyAlignment="1">
      <alignment horizontal="center" vertical="center"/>
    </xf>
    <xf numFmtId="170" fontId="0" fillId="8" borderId="2" xfId="0" applyFont="1" applyNumberFormat="1" applyFill="1" applyBorder="1" applyAlignment="1" applyProtection="1">
      <alignment horizontal="right" vertical="center"/>
      <protection locked="0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9.71" hidden="0" customWidth="1"/>
    <col min="2" max="2" width="11.71" hidden="0" customWidth="1"/>
    <col min="3" max="3" width="8.71" hidden="0" customWidth="1"/>
    <col min="4" max="4" width="4.71" hidden="0" customWidth="1"/>
    <col min="5" max="5" width="12.71" hidden="0" customWidth="1"/>
    <col min="6" max="6" width="11.71" hidden="0" customWidth="1"/>
    <col min="7" max="7" width="8.71" hidden="0" customWidth="1"/>
    <col min="8" max="8" width="7.71" hidden="0" customWidth="1"/>
    <col min="9" max="9" width="12.71" hidden="0" customWidth="1"/>
    <col min="10" max="10" width="11.71" hidden="0" customWidth="1"/>
    <col min="11" max="11" width="11.71" hidden="0" customWidth="1"/>
    <col min="12" max="12" width="8.71" hidden="0" customWidth="1"/>
    <col min="13" max="13" width="7.71" hidden="0" customWidth="1"/>
    <col min="14" max="14" width="12.71" hidden="0" customWidth="1"/>
    <col min="15" max="15" width="11.71" hidden="0" customWidth="1"/>
    <col min="16" max="16" width="11.71" hidden="0" customWidth="1"/>
    <col min="17" max="17" width="8.71" hidden="0" customWidth="1"/>
    <col min="18" max="18" width="7.71" hidden="0" customWidth="1"/>
    <col min="19" max="19" width="12.71" hidden="0" customWidth="1"/>
    <col min="20" max="20" width="11.71" hidden="0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2"/>
      <c r="B2" s="2" t="s">
        <v>1</v>
      </c>
      <c r="C2" s="2"/>
      <c r="D2" s="2"/>
      <c r="E2" s="2"/>
      <c r="F2" s="2" t="s">
        <v>2</v>
      </c>
      <c r="G2" s="2"/>
      <c r="H2" s="2"/>
      <c r="I2" s="2"/>
      <c r="J2" s="2"/>
      <c r="K2" s="2" t="s">
        <v>3</v>
      </c>
      <c r="L2" s="2"/>
      <c r="M2" s="2"/>
      <c r="N2" s="2"/>
      <c r="O2" s="2"/>
      <c r="P2" s="2" t="s">
        <v>4</v>
      </c>
      <c r="Q2" s="2"/>
      <c r="R2" s="2"/>
      <c r="S2" s="2"/>
      <c r="T2" s="2"/>
    </row>
    <row r="3">
      <c r="A3" s="4" t="s">
        <v>5</v>
      </c>
      <c r="B3" s="3" t="s">
        <v>6</v>
      </c>
      <c r="C3" s="3"/>
      <c r="D3" s="3"/>
      <c r="E3" s="3"/>
      <c r="F3" s="3" t="s">
        <v>7</v>
      </c>
      <c r="G3" s="3"/>
      <c r="H3" s="3"/>
      <c r="I3" s="3"/>
      <c r="J3" s="3"/>
      <c r="K3" s="3" t="s">
        <v>8</v>
      </c>
      <c r="L3" s="3"/>
      <c r="M3" s="3"/>
      <c r="N3" s="3"/>
      <c r="O3" s="3"/>
      <c r="P3" s="3" t="s">
        <v>9</v>
      </c>
      <c r="Q3" s="3"/>
      <c r="R3" s="3"/>
      <c r="S3" s="3"/>
      <c r="T3" s="3"/>
    </row>
    <row r="4">
      <c r="A4" s="4" t="s">
        <v>10</v>
      </c>
      <c r="B4" s="5" t="s">
        <v>11</v>
      </c>
      <c r="C4" s="5"/>
      <c r="D4" s="5" t="n">
        <v>6</v>
      </c>
      <c r="E4" s="5" t="s">
        <v>12</v>
      </c>
      <c r="F4" s="5" t="s">
        <v>13</v>
      </c>
      <c r="G4" s="5" t="s">
        <v>14</v>
      </c>
      <c r="H4" s="5" t="n">
        <v>31</v>
      </c>
      <c r="I4" s="5" t="s">
        <v>15</v>
      </c>
      <c r="J4" s="5"/>
      <c r="K4" s="5" t="s">
        <v>16</v>
      </c>
      <c r="L4" s="5" t="s">
        <v>17</v>
      </c>
      <c r="M4" s="5" t="n">
        <v>15</v>
      </c>
      <c r="N4" s="5" t="s">
        <v>18</v>
      </c>
      <c r="O4" s="5"/>
      <c r="P4" s="5" t="s">
        <v>19</v>
      </c>
      <c r="Q4" s="5" t="s">
        <v>20</v>
      </c>
      <c r="R4" s="5" t="n">
        <v>10</v>
      </c>
      <c r="S4" s="5" t="s">
        <v>21</v>
      </c>
      <c r="T4" s="5"/>
    </row>
    <row r="5">
      <c r="A5" s="4" t="s">
        <v>22</v>
      </c>
      <c r="B5" s="5" t="s">
        <v>23</v>
      </c>
      <c r="C5" s="6" t="n">
        <v>0</v>
      </c>
      <c r="D5" s="5" t="s">
        <v>23</v>
      </c>
      <c r="E5" s="5"/>
      <c r="F5" s="6" t="n">
        <v>3368000</v>
      </c>
      <c r="G5" s="6" t="n">
        <v>0</v>
      </c>
      <c r="H5" s="6" t="str">
        <f>F5-G5</f>
      </c>
      <c r="I5" s="5"/>
      <c r="J5" s="5"/>
      <c r="K5" s="6" t="n">
        <v>3308000</v>
      </c>
      <c r="L5" s="6" t="n">
        <v>0</v>
      </c>
      <c r="M5" s="6" t="str">
        <f>K5-L5</f>
      </c>
      <c r="N5" s="5"/>
      <c r="O5" s="5"/>
      <c r="P5" s="6" t="n">
        <v>3128000</v>
      </c>
      <c r="Q5" s="6" t="n">
        <v>0</v>
      </c>
      <c r="R5" s="6" t="str">
        <f>P5-Q5</f>
      </c>
      <c r="S5" s="5"/>
      <c r="T5" s="5"/>
    </row>
    <row r="6">
      <c r="A6" s="4" t="s">
        <v>24</v>
      </c>
      <c r="B6" s="3" t="s">
        <v>25</v>
      </c>
      <c r="C6" s="3"/>
      <c r="D6" s="3"/>
      <c r="E6" s="3" t="s">
        <v>26</v>
      </c>
      <c r="F6" s="3" t="s">
        <v>25</v>
      </c>
      <c r="G6" s="3"/>
      <c r="H6" s="3"/>
      <c r="I6" s="3" t="s">
        <v>26</v>
      </c>
      <c r="J6" s="3" t="s">
        <v>27</v>
      </c>
      <c r="K6" s="3" t="s">
        <v>25</v>
      </c>
      <c r="L6" s="3"/>
      <c r="M6" s="3"/>
      <c r="N6" s="3" t="s">
        <v>26</v>
      </c>
      <c r="O6" s="3" t="s">
        <v>27</v>
      </c>
      <c r="P6" s="3" t="s">
        <v>25</v>
      </c>
      <c r="Q6" s="3"/>
      <c r="R6" s="3"/>
      <c r="S6" s="3" t="s">
        <v>26</v>
      </c>
      <c r="T6" s="3" t="s">
        <v>27</v>
      </c>
    </row>
    <row r="7">
      <c r="A7" s="4" t="s">
        <v>28</v>
      </c>
      <c r="B7" s="5"/>
      <c r="C7" s="5"/>
      <c r="D7" s="5"/>
      <c r="E7" s="6" t="n">
        <v>-4456942</v>
      </c>
      <c r="F7" s="5"/>
      <c r="G7" s="5"/>
      <c r="H7" s="5"/>
      <c r="I7" s="6" t="n">
        <v>-4456942</v>
      </c>
      <c r="J7" s="5"/>
      <c r="K7" s="5"/>
      <c r="L7" s="5"/>
      <c r="M7" s="5"/>
      <c r="N7" s="6" t="n">
        <v>-4456942</v>
      </c>
      <c r="O7" s="5"/>
      <c r="P7" s="5"/>
      <c r="Q7" s="5"/>
      <c r="R7" s="5"/>
      <c r="S7" s="6" t="n">
        <v>-4456942</v>
      </c>
      <c r="T7" s="5"/>
    </row>
    <row r="8">
      <c r="A8" s="4" t="s">
        <v>29</v>
      </c>
      <c r="B8" s="5"/>
      <c r="C8" s="5" t="n">
        <v>13</v>
      </c>
      <c r="D8" s="5" t="n">
        <v>6</v>
      </c>
      <c r="E8" s="5"/>
      <c r="F8" s="5"/>
      <c r="G8" s="5" t="n">
        <v>307</v>
      </c>
      <c r="H8" s="5" t="n">
        <v>31</v>
      </c>
      <c r="I8" s="5"/>
      <c r="J8" s="5"/>
      <c r="K8" s="5"/>
      <c r="L8" s="5" t="n">
        <v>487</v>
      </c>
      <c r="M8" s="5" t="n">
        <v>15</v>
      </c>
      <c r="N8" s="5"/>
      <c r="O8" s="5"/>
      <c r="P8" s="5"/>
      <c r="Q8" s="5" t="n">
        <v>1682</v>
      </c>
      <c r="R8" s="5" t="n">
        <v>10</v>
      </c>
      <c r="S8" s="5"/>
      <c r="T8" s="5"/>
    </row>
    <row r="9">
      <c r="A9" s="4" t="s">
        <v>30</v>
      </c>
      <c r="B9" s="5" t="n">
        <v>-121.45</v>
      </c>
      <c r="C9" s="5" t="n">
        <v>37.72</v>
      </c>
      <c r="D9" s="5" t="n">
        <v>466</v>
      </c>
      <c r="E9" s="7" t="n">
        <v>7138065</v>
      </c>
      <c r="F9" s="5" t="n">
        <v>-121.463</v>
      </c>
      <c r="G9" s="5" t="n">
        <v>37.721</v>
      </c>
      <c r="H9" s="5" t="n">
        <v>466</v>
      </c>
      <c r="I9" s="7" t="n">
        <v>7144255</v>
      </c>
      <c r="J9" s="8" t="n">
        <v>-6190</v>
      </c>
      <c r="K9" s="5" t="n">
        <v>-121.464</v>
      </c>
      <c r="L9" s="5" t="n">
        <v>37.719</v>
      </c>
      <c r="M9" s="5" t="n">
        <v>466</v>
      </c>
      <c r="N9" s="7" t="n">
        <v>7092590</v>
      </c>
      <c r="O9" s="8" t="n">
        <v>45475</v>
      </c>
      <c r="P9" s="5" t="n">
        <v>-121.451</v>
      </c>
      <c r="Q9" s="5" t="n">
        <v>37.721</v>
      </c>
      <c r="R9" s="5" t="n">
        <v>466</v>
      </c>
      <c r="S9" s="7" t="n">
        <v>7163585</v>
      </c>
      <c r="T9" s="8" t="n">
        <v>-25520</v>
      </c>
    </row>
    <row r="10">
      <c r="A10" s="4" t="s">
        <v>31</v>
      </c>
      <c r="B10" s="5" t="n">
        <v>5984</v>
      </c>
      <c r="C10" s="5"/>
      <c r="D10" s="5"/>
      <c r="E10" s="7" t="n">
        <v>42684</v>
      </c>
      <c r="F10" s="5" t="n">
        <v>6549</v>
      </c>
      <c r="G10" s="5"/>
      <c r="H10" s="5"/>
      <c r="I10" s="7" t="n">
        <v>46715</v>
      </c>
      <c r="J10" s="8" t="n">
        <v>-4031</v>
      </c>
      <c r="K10" s="5" t="n">
        <v>6199</v>
      </c>
      <c r="L10" s="5"/>
      <c r="M10" s="5"/>
      <c r="N10" s="7" t="n">
        <v>44218</v>
      </c>
      <c r="O10" s="8" t="n">
        <v>-1534</v>
      </c>
      <c r="P10" s="5" t="n">
        <v>5986</v>
      </c>
      <c r="Q10" s="5"/>
      <c r="R10" s="5"/>
      <c r="S10" s="7" t="n">
        <v>42699</v>
      </c>
      <c r="T10" s="8" t="n">
        <v>-15</v>
      </c>
    </row>
    <row r="11">
      <c r="A11" s="4" t="s">
        <v>32</v>
      </c>
      <c r="B11" s="5" t="n">
        <v>78</v>
      </c>
      <c r="C11" s="5"/>
      <c r="D11" s="5"/>
      <c r="E11" s="7" t="n">
        <v>65436</v>
      </c>
      <c r="F11" s="5" t="n">
        <v>101</v>
      </c>
      <c r="G11" s="5"/>
      <c r="H11" s="5"/>
      <c r="I11" s="7" t="n">
        <v>82738</v>
      </c>
      <c r="J11" s="8" t="n">
        <v>-17302</v>
      </c>
      <c r="K11" s="5" t="n">
        <v>100</v>
      </c>
      <c r="L11" s="5"/>
      <c r="M11" s="5"/>
      <c r="N11" s="7" t="n">
        <v>86216</v>
      </c>
      <c r="O11" s="8" t="n">
        <v>-20780</v>
      </c>
      <c r="P11" s="5" t="n">
        <v>103</v>
      </c>
      <c r="Q11" s="5"/>
      <c r="R11" s="5"/>
      <c r="S11" s="7" t="n">
        <v>73471</v>
      </c>
      <c r="T11" s="8" t="n">
        <v>-8035</v>
      </c>
    </row>
    <row r="12">
      <c r="A12" s="4" t="s">
        <v>33</v>
      </c>
      <c r="B12" s="5" t="n">
        <v>13</v>
      </c>
      <c r="C12" s="5"/>
      <c r="D12" s="5"/>
      <c r="E12" s="6" t="n">
        <v>149278</v>
      </c>
      <c r="F12" s="5" t="n">
        <v>307</v>
      </c>
      <c r="G12" s="5"/>
      <c r="H12" s="5"/>
      <c r="I12" s="6" t="n">
        <v>145610</v>
      </c>
      <c r="J12" s="6" t="n">
        <v>3668</v>
      </c>
      <c r="K12" s="5" t="n">
        <v>487</v>
      </c>
      <c r="L12" s="5"/>
      <c r="M12" s="5"/>
      <c r="N12" s="6" t="n">
        <v>143364</v>
      </c>
      <c r="O12" s="6" t="n">
        <v>5913</v>
      </c>
      <c r="P12" s="5" t="n">
        <v>1682</v>
      </c>
      <c r="Q12" s="5"/>
      <c r="R12" s="5"/>
      <c r="S12" s="6" t="n">
        <v>22820</v>
      </c>
      <c r="T12" s="6" t="n">
        <v>126458</v>
      </c>
    </row>
    <row r="13">
      <c r="A13" s="4" t="s">
        <v>34</v>
      </c>
      <c r="B13" s="5" t="n">
        <v>1764</v>
      </c>
      <c r="C13" s="5"/>
      <c r="D13" s="5"/>
      <c r="E13" s="6" t="n">
        <v>-200962</v>
      </c>
      <c r="F13" s="5" t="n">
        <v>1950</v>
      </c>
      <c r="G13" s="5"/>
      <c r="H13" s="5"/>
      <c r="I13" s="6" t="n">
        <v>-57502</v>
      </c>
      <c r="J13" s="6" t="n">
        <v>-143460</v>
      </c>
      <c r="K13" s="5" t="n">
        <v>1990</v>
      </c>
      <c r="L13" s="5"/>
      <c r="M13" s="5"/>
      <c r="N13" s="6" t="n">
        <v>-27864</v>
      </c>
      <c r="O13" s="6" t="n">
        <v>-173097</v>
      </c>
      <c r="P13" s="5" t="n">
        <v>1968</v>
      </c>
      <c r="Q13" s="5"/>
      <c r="R13" s="5"/>
      <c r="S13" s="6" t="n">
        <v>-44115</v>
      </c>
      <c r="T13" s="6" t="n">
        <v>-156847</v>
      </c>
    </row>
    <row r="14">
      <c r="A14" s="4" t="s">
        <v>35</v>
      </c>
      <c r="B14" s="5" t="n">
        <v>3</v>
      </c>
      <c r="C14" s="5"/>
      <c r="D14" s="5"/>
      <c r="E14" s="6" t="n">
        <v>65531</v>
      </c>
      <c r="F14" s="5" t="n">
        <v>3</v>
      </c>
      <c r="G14" s="5"/>
      <c r="H14" s="5"/>
      <c r="I14" s="6" t="n">
        <v>65531</v>
      </c>
      <c r="J14" s="6" t="n">
        <v>0</v>
      </c>
      <c r="K14" s="5" t="n">
        <v>4</v>
      </c>
      <c r="L14" s="5"/>
      <c r="M14" s="5"/>
      <c r="N14" s="6" t="n">
        <v>93267</v>
      </c>
      <c r="O14" s="6" t="n">
        <v>-27735</v>
      </c>
      <c r="P14" s="5" t="n">
        <v>3</v>
      </c>
      <c r="Q14" s="5"/>
      <c r="R14" s="5"/>
      <c r="S14" s="6" t="n">
        <v>65531</v>
      </c>
      <c r="T14" s="6" t="n">
        <v>0</v>
      </c>
    </row>
    <row r="15">
      <c r="A15" s="4" t="s">
        <v>36</v>
      </c>
      <c r="B15" s="5" t="n">
        <v>2</v>
      </c>
      <c r="C15" s="5"/>
      <c r="D15" s="5"/>
      <c r="E15" s="6" t="n">
        <v>-54226</v>
      </c>
      <c r="F15" s="5" t="n">
        <v>2</v>
      </c>
      <c r="G15" s="5"/>
      <c r="H15" s="5"/>
      <c r="I15" s="6" t="n">
        <v>-54226</v>
      </c>
      <c r="J15" s="6" t="n">
        <v>0</v>
      </c>
      <c r="K15" s="5" t="n">
        <v>2</v>
      </c>
      <c r="L15" s="5"/>
      <c r="M15" s="5"/>
      <c r="N15" s="6" t="n">
        <v>-54226</v>
      </c>
      <c r="O15" s="6" t="n">
        <v>0</v>
      </c>
      <c r="P15" s="5" t="n">
        <v>2</v>
      </c>
      <c r="Q15" s="5"/>
      <c r="R15" s="5"/>
      <c r="S15" s="6" t="n">
        <v>-54226</v>
      </c>
      <c r="T15" s="6" t="n">
        <v>0</v>
      </c>
    </row>
    <row r="16">
      <c r="A16" s="4" t="s">
        <v>37</v>
      </c>
      <c r="B16" s="5" t="n">
        <v>1</v>
      </c>
      <c r="C16" s="5"/>
      <c r="D16" s="5"/>
      <c r="E16" s="6" t="n">
        <v>4969</v>
      </c>
      <c r="F16" s="5" t="n">
        <v>1</v>
      </c>
      <c r="G16" s="5"/>
      <c r="H16" s="5"/>
      <c r="I16" s="6" t="n">
        <v>4969</v>
      </c>
      <c r="J16" s="6" t="n">
        <v>0</v>
      </c>
      <c r="K16" s="5" t="n">
        <v>2</v>
      </c>
      <c r="L16" s="5"/>
      <c r="M16" s="5"/>
      <c r="N16" s="6" t="n">
        <v>14727</v>
      </c>
      <c r="O16" s="6" t="n">
        <v>-9758</v>
      </c>
      <c r="P16" s="5" t="n">
        <v>2</v>
      </c>
      <c r="Q16" s="5"/>
      <c r="R16" s="5"/>
      <c r="S16" s="6" t="n">
        <v>14727</v>
      </c>
      <c r="T16" s="6" t="n">
        <v>-9758</v>
      </c>
    </row>
    <row r="17">
      <c r="A17" s="4" t="s">
        <v>38</v>
      </c>
      <c r="B17" s="5"/>
      <c r="C17" s="5"/>
      <c r="D17" s="5"/>
      <c r="E17" s="6" t="n">
        <v>-77316</v>
      </c>
      <c r="F17" s="5"/>
      <c r="G17" s="5"/>
      <c r="H17" s="5"/>
      <c r="I17" s="6" t="n">
        <v>-40489</v>
      </c>
      <c r="J17" s="6" t="n">
        <v>-36827</v>
      </c>
      <c r="K17" s="5"/>
      <c r="L17" s="5"/>
      <c r="M17" s="5"/>
      <c r="N17" s="6" t="n">
        <v>-23776</v>
      </c>
      <c r="O17" s="6" t="n">
        <v>-53540</v>
      </c>
      <c r="P17" s="5"/>
      <c r="Q17" s="5"/>
      <c r="R17" s="5"/>
      <c r="S17" s="6" t="n">
        <v>1002</v>
      </c>
      <c r="T17" s="6" t="n">
        <v>-78317</v>
      </c>
    </row>
    <row r="18">
      <c r="A18" s="4" t="s">
        <v>39</v>
      </c>
      <c r="B18" s="5"/>
      <c r="C18" s="5"/>
      <c r="D18" s="5"/>
      <c r="E18" s="6" t="n">
        <v>-156</v>
      </c>
      <c r="F18" s="5"/>
      <c r="G18" s="5"/>
      <c r="H18" s="5"/>
      <c r="I18" s="6" t="n">
        <v>-48</v>
      </c>
      <c r="J18" s="6" t="n">
        <v>-108</v>
      </c>
      <c r="K18" s="5"/>
      <c r="L18" s="5"/>
      <c r="M18" s="5"/>
      <c r="N18" s="6" t="n">
        <v>90</v>
      </c>
      <c r="O18" s="6" t="n">
        <v>-246</v>
      </c>
      <c r="P18" s="5"/>
      <c r="Q18" s="5"/>
      <c r="R18" s="5"/>
      <c r="S18" s="6" t="n">
        <v>-37</v>
      </c>
      <c r="T18" s="6" t="n">
        <v>-119</v>
      </c>
    </row>
    <row r="19">
      <c r="A19" s="4" t="s">
        <v>40</v>
      </c>
      <c r="B19" s="5"/>
      <c r="C19" s="5"/>
      <c r="D19" s="5"/>
      <c r="E19" s="6" t="n">
        <v>23961</v>
      </c>
      <c r="F19" s="5"/>
      <c r="G19" s="5"/>
      <c r="H19" s="5"/>
      <c r="I19" s="6" t="n">
        <v>10732</v>
      </c>
      <c r="J19" s="6" t="n">
        <v>13229</v>
      </c>
      <c r="K19" s="5"/>
      <c r="L19" s="5"/>
      <c r="M19" s="5"/>
      <c r="N19" s="6" t="n">
        <v>7886</v>
      </c>
      <c r="O19" s="6" t="n">
        <v>16075</v>
      </c>
      <c r="P19" s="5"/>
      <c r="Q19" s="5"/>
      <c r="R19" s="5"/>
      <c r="S19" s="6" t="n">
        <v>9451</v>
      </c>
      <c r="T19" s="6" t="n">
        <v>14510</v>
      </c>
    </row>
    <row r="20">
      <c r="A20" s="4" t="s">
        <v>41</v>
      </c>
      <c r="B20" s="5"/>
      <c r="C20" s="5"/>
      <c r="D20" s="5"/>
      <c r="E20" s="6" t="n">
        <v>-123720</v>
      </c>
      <c r="F20" s="5"/>
      <c r="G20" s="5"/>
      <c r="H20" s="5"/>
      <c r="I20" s="6" t="n">
        <v>49843</v>
      </c>
      <c r="J20" s="6" t="n">
        <v>-173563</v>
      </c>
      <c r="K20" s="5"/>
      <c r="L20" s="5"/>
      <c r="M20" s="5"/>
      <c r="N20" s="6" t="n">
        <v>-3938</v>
      </c>
      <c r="O20" s="6" t="n">
        <v>-119782</v>
      </c>
      <c r="P20" s="5"/>
      <c r="Q20" s="5"/>
      <c r="R20" s="5"/>
      <c r="S20" s="6" t="n">
        <v>-170547</v>
      </c>
      <c r="T20" s="6" t="n">
        <v>46827</v>
      </c>
    </row>
    <row r="21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>
      <c r="A22" s="4" t="s">
        <v>42</v>
      </c>
      <c r="B22" s="3" t="s">
        <v>43</v>
      </c>
      <c r="C22" s="3"/>
      <c r="D22" s="3"/>
      <c r="E22" s="3" t="s">
        <v>26</v>
      </c>
      <c r="F22" s="3" t="s">
        <v>44</v>
      </c>
      <c r="G22" s="3"/>
      <c r="H22" s="3"/>
      <c r="I22" s="3" t="s">
        <v>26</v>
      </c>
      <c r="J22" s="3" t="s">
        <v>27</v>
      </c>
      <c r="K22" s="3" t="s">
        <v>44</v>
      </c>
      <c r="L22" s="3"/>
      <c r="M22" s="3"/>
      <c r="N22" s="3" t="s">
        <v>26</v>
      </c>
      <c r="O22" s="3" t="s">
        <v>27</v>
      </c>
      <c r="P22" s="3" t="s">
        <v>44</v>
      </c>
      <c r="Q22" s="3"/>
      <c r="R22" s="3"/>
      <c r="S22" s="3" t="s">
        <v>26</v>
      </c>
      <c r="T22" s="3" t="s">
        <v>27</v>
      </c>
    </row>
    <row r="23">
      <c r="A23" s="4" t="s">
        <v>45</v>
      </c>
      <c r="B23" s="9" t="n">
        <v>9.1</v>
      </c>
      <c r="C23" s="2"/>
      <c r="D23" s="2"/>
      <c r="E23" s="11" t="str">
        <f>435038-SUM(E24:E34)</f>
      </c>
      <c r="F23" s="9" t="n">
        <v>8.76</v>
      </c>
      <c r="G23" s="5"/>
      <c r="H23" s="5"/>
      <c r="I23" s="10" t="str">
        <f>426814-SUM(I24:I34)</f>
      </c>
      <c r="J23" s="10" t="str">
        <f>E23-I23</f>
      </c>
      <c r="K23" s="9" t="n">
        <v>8.61</v>
      </c>
      <c r="L23" s="5"/>
      <c r="M23" s="5"/>
      <c r="N23" s="10" t="str">
        <f>392386-SUM(N24:N34)</f>
      </c>
      <c r="O23" s="10" t="str">
        <f>E23-N23</f>
      </c>
      <c r="P23" s="9" t="n">
        <v>8.94</v>
      </c>
      <c r="Q23" s="5"/>
      <c r="R23" s="5"/>
      <c r="S23" s="10" t="str">
        <f>460580-SUM(S24:S34)</f>
      </c>
      <c r="T23" s="10" t="str">
        <f>E23-S23</f>
      </c>
    </row>
    <row r="24">
      <c r="A24" s="4" t="s">
        <v>46</v>
      </c>
      <c r="B24" s="5"/>
      <c r="C24" s="5"/>
      <c r="D24" s="5"/>
      <c r="E24" s="16" t="n">
        <v>0</v>
      </c>
      <c r="F24" s="5"/>
      <c r="G24" s="5"/>
      <c r="H24" s="5"/>
      <c r="I24" s="16" t="n">
        <v>0</v>
      </c>
      <c r="J24" s="8" t="str">
        <f>E24-I24</f>
      </c>
      <c r="K24" s="5"/>
      <c r="L24" s="5"/>
      <c r="M24" s="5"/>
      <c r="N24" s="16" t="n">
        <v>0</v>
      </c>
      <c r="O24" s="8" t="str">
        <f>E24-N24</f>
      </c>
      <c r="P24" s="5"/>
      <c r="Q24" s="5"/>
      <c r="R24" s="5"/>
      <c r="S24" s="16" t="n">
        <v>0</v>
      </c>
      <c r="T24" s="8" t="str">
        <f>E24-S24</f>
      </c>
    </row>
    <row r="25">
      <c r="A25" s="4" t="s">
        <v>47</v>
      </c>
      <c r="B25" s="5"/>
      <c r="C25" s="5"/>
      <c r="D25" s="5"/>
      <c r="E25" s="16" t="n">
        <v>0</v>
      </c>
      <c r="F25" s="5"/>
      <c r="G25" s="5"/>
      <c r="H25" s="5"/>
      <c r="I25" s="16" t="n">
        <v>0</v>
      </c>
      <c r="J25" s="8" t="str">
        <f>E25-I25</f>
      </c>
      <c r="K25" s="5"/>
      <c r="L25" s="5"/>
      <c r="M25" s="5"/>
      <c r="N25" s="16" t="n">
        <v>0</v>
      </c>
      <c r="O25" s="8" t="str">
        <f>E25-N25</f>
      </c>
      <c r="P25" s="5"/>
      <c r="Q25" s="5"/>
      <c r="R25" s="5"/>
      <c r="S25" s="16" t="n">
        <v>0</v>
      </c>
      <c r="T25" s="8" t="str">
        <f>E25-S25</f>
      </c>
    </row>
    <row r="26">
      <c r="A26" s="4" t="s">
        <v>48</v>
      </c>
      <c r="B26" s="5"/>
      <c r="C26" s="5"/>
      <c r="D26" s="5"/>
      <c r="E26" s="16" t="n">
        <v>0</v>
      </c>
      <c r="F26" s="5"/>
      <c r="G26" s="5"/>
      <c r="H26" s="5"/>
      <c r="I26" s="16" t="n">
        <v>0</v>
      </c>
      <c r="J26" s="8" t="str">
        <f>E26-I26</f>
      </c>
      <c r="K26" s="5"/>
      <c r="L26" s="5"/>
      <c r="M26" s="5"/>
      <c r="N26" s="16" t="n">
        <v>0</v>
      </c>
      <c r="O26" s="8" t="str">
        <f>E26-N26</f>
      </c>
      <c r="P26" s="5"/>
      <c r="Q26" s="5"/>
      <c r="R26" s="5"/>
      <c r="S26" s="16" t="n">
        <v>0</v>
      </c>
      <c r="T26" s="8" t="str">
        <f>E26-S26</f>
      </c>
    </row>
    <row r="27">
      <c r="A27" s="4" t="s">
        <v>49</v>
      </c>
      <c r="B27" s="5"/>
      <c r="C27" s="5"/>
      <c r="D27" s="5"/>
      <c r="E27" s="16" t="n">
        <v>0</v>
      </c>
      <c r="F27" s="5"/>
      <c r="G27" s="5"/>
      <c r="H27" s="5"/>
      <c r="I27" s="16" t="n">
        <v>0</v>
      </c>
      <c r="J27" s="8" t="str">
        <f>E27-I27</f>
      </c>
      <c r="K27" s="5"/>
      <c r="L27" s="5"/>
      <c r="M27" s="5"/>
      <c r="N27" s="16" t="n">
        <v>0</v>
      </c>
      <c r="O27" s="8" t="str">
        <f>E27-N27</f>
      </c>
      <c r="P27" s="5"/>
      <c r="Q27" s="5"/>
      <c r="R27" s="5"/>
      <c r="S27" s="16" t="n">
        <v>0</v>
      </c>
      <c r="T27" s="8" t="str">
        <f>E27-S27</f>
      </c>
    </row>
    <row r="28">
      <c r="A28" s="4" t="s">
        <v>50</v>
      </c>
      <c r="B28" s="5"/>
      <c r="C28" s="5"/>
      <c r="D28" s="5"/>
      <c r="E28" s="16" t="n">
        <v>0</v>
      </c>
      <c r="F28" s="5"/>
      <c r="G28" s="5"/>
      <c r="H28" s="5"/>
      <c r="I28" s="16" t="n">
        <v>0</v>
      </c>
      <c r="J28" s="8" t="str">
        <f>E28-I28</f>
      </c>
      <c r="K28" s="5"/>
      <c r="L28" s="5"/>
      <c r="M28" s="5"/>
      <c r="N28" s="16" t="n">
        <v>0</v>
      </c>
      <c r="O28" s="8" t="str">
        <f>E28-N28</f>
      </c>
      <c r="P28" s="5"/>
      <c r="Q28" s="5"/>
      <c r="R28" s="5"/>
      <c r="S28" s="16" t="n">
        <v>0</v>
      </c>
      <c r="T28" s="8" t="str">
        <f>E28-S28</f>
      </c>
    </row>
    <row r="29">
      <c r="A29" s="4"/>
      <c r="B29" s="5"/>
      <c r="C29" s="5"/>
      <c r="D29" s="5"/>
      <c r="E29" s="16" t="n">
        <v>0</v>
      </c>
      <c r="F29" s="5"/>
      <c r="G29" s="5"/>
      <c r="H29" s="5"/>
      <c r="I29" s="16" t="n">
        <v>0</v>
      </c>
      <c r="J29" s="8" t="str">
        <f>E29-I29</f>
      </c>
      <c r="K29" s="5"/>
      <c r="L29" s="5"/>
      <c r="M29" s="5"/>
      <c r="N29" s="16" t="n">
        <v>0</v>
      </c>
      <c r="O29" s="8" t="str">
        <f>E29-N29</f>
      </c>
      <c r="P29" s="5"/>
      <c r="Q29" s="5"/>
      <c r="R29" s="5"/>
      <c r="S29" s="16" t="n">
        <v>0</v>
      </c>
      <c r="T29" s="8" t="str">
        <f>E29-S29</f>
      </c>
    </row>
    <row r="30">
      <c r="A30" s="4"/>
      <c r="B30" s="5"/>
      <c r="C30" s="5"/>
      <c r="D30" s="5"/>
      <c r="E30" s="16" t="n">
        <v>0</v>
      </c>
      <c r="F30" s="5"/>
      <c r="G30" s="5"/>
      <c r="H30" s="5"/>
      <c r="I30" s="16" t="n">
        <v>0</v>
      </c>
      <c r="J30" s="8" t="str">
        <f>E30-I30</f>
      </c>
      <c r="K30" s="5"/>
      <c r="L30" s="5"/>
      <c r="M30" s="5"/>
      <c r="N30" s="16" t="n">
        <v>0</v>
      </c>
      <c r="O30" s="8" t="str">
        <f>E30-N30</f>
      </c>
      <c r="P30" s="5"/>
      <c r="Q30" s="5"/>
      <c r="R30" s="5"/>
      <c r="S30" s="16" t="n">
        <v>0</v>
      </c>
      <c r="T30" s="8" t="str">
        <f>E30-S30</f>
      </c>
    </row>
    <row r="31">
      <c r="A31" s="4"/>
      <c r="B31" s="5"/>
      <c r="C31" s="5"/>
      <c r="D31" s="5"/>
      <c r="E31" s="16" t="n">
        <v>0</v>
      </c>
      <c r="F31" s="5"/>
      <c r="G31" s="5"/>
      <c r="H31" s="5"/>
      <c r="I31" s="16" t="n">
        <v>0</v>
      </c>
      <c r="J31" s="8" t="str">
        <f>E31-I31</f>
      </c>
      <c r="K31" s="5"/>
      <c r="L31" s="5"/>
      <c r="M31" s="5"/>
      <c r="N31" s="16" t="n">
        <v>0</v>
      </c>
      <c r="O31" s="8" t="str">
        <f>E31-N31</f>
      </c>
      <c r="P31" s="5"/>
      <c r="Q31" s="5"/>
      <c r="R31" s="5"/>
      <c r="S31" s="16" t="n">
        <v>0</v>
      </c>
      <c r="T31" s="8" t="str">
        <f>E31-S31</f>
      </c>
    </row>
    <row r="32">
      <c r="A32" s="4"/>
      <c r="B32" s="5"/>
      <c r="C32" s="5"/>
      <c r="D32" s="5"/>
      <c r="E32" s="16" t="n">
        <v>0</v>
      </c>
      <c r="F32" s="5"/>
      <c r="G32" s="5"/>
      <c r="H32" s="5"/>
      <c r="I32" s="16" t="n">
        <v>0</v>
      </c>
      <c r="J32" s="8" t="str">
        <f>E32-I32</f>
      </c>
      <c r="K32" s="5"/>
      <c r="L32" s="5"/>
      <c r="M32" s="5"/>
      <c r="N32" s="16" t="n">
        <v>0</v>
      </c>
      <c r="O32" s="8" t="str">
        <f>E32-N32</f>
      </c>
      <c r="P32" s="5"/>
      <c r="Q32" s="5"/>
      <c r="R32" s="5"/>
      <c r="S32" s="16" t="n">
        <v>0</v>
      </c>
      <c r="T32" s="8" t="str">
        <f>E32-S32</f>
      </c>
    </row>
    <row r="33">
      <c r="A33" s="4"/>
      <c r="B33" s="5"/>
      <c r="C33" s="5"/>
      <c r="D33" s="5"/>
      <c r="E33" s="16" t="n">
        <v>0</v>
      </c>
      <c r="F33" s="5"/>
      <c r="G33" s="5"/>
      <c r="H33" s="5"/>
      <c r="I33" s="16" t="n">
        <v>0</v>
      </c>
      <c r="J33" s="8" t="str">
        <f>E33-I33</f>
      </c>
      <c r="K33" s="5"/>
      <c r="L33" s="5"/>
      <c r="M33" s="5"/>
      <c r="N33" s="16" t="n">
        <v>0</v>
      </c>
      <c r="O33" s="8" t="str">
        <f>E33-N33</f>
      </c>
      <c r="P33" s="5"/>
      <c r="Q33" s="5"/>
      <c r="R33" s="5"/>
      <c r="S33" s="16" t="n">
        <v>0</v>
      </c>
      <c r="T33" s="8" t="str">
        <f>E33-S33</f>
      </c>
    </row>
    <row r="34">
      <c r="A34" s="4"/>
      <c r="B34" s="5"/>
      <c r="C34" s="5"/>
      <c r="D34" s="5"/>
      <c r="E34" s="16" t="n">
        <v>0</v>
      </c>
      <c r="F34" s="5"/>
      <c r="G34" s="5"/>
      <c r="H34" s="5"/>
      <c r="I34" s="16" t="n">
        <v>0</v>
      </c>
      <c r="J34" s="8" t="str">
        <f>E34-I34</f>
      </c>
      <c r="K34" s="5"/>
      <c r="L34" s="5"/>
      <c r="M34" s="5"/>
      <c r="N34" s="16" t="n">
        <v>0</v>
      </c>
      <c r="O34" s="8" t="str">
        <f>E34-N34</f>
      </c>
      <c r="P34" s="5"/>
      <c r="Q34" s="5"/>
      <c r="R34" s="5"/>
      <c r="S34" s="16" t="n">
        <v>0</v>
      </c>
      <c r="T34" s="8" t="str">
        <f>E34-S34</f>
      </c>
    </row>
    <row r="35">
      <c r="A35" s="4" t="s">
        <v>51</v>
      </c>
      <c r="B35" s="5"/>
      <c r="C35" s="5"/>
      <c r="D35" s="5"/>
      <c r="E35" s="6" t="n">
        <v>2576602</v>
      </c>
      <c r="F35" s="5"/>
      <c r="G35" s="5"/>
      <c r="H35" s="5"/>
      <c r="I35" s="5"/>
      <c r="J35" s="6" t="n">
        <v>-356358</v>
      </c>
      <c r="K35" s="5"/>
      <c r="L35" s="5"/>
      <c r="M35" s="5"/>
      <c r="N35" s="5"/>
      <c r="O35" s="6" t="n">
        <v>-296358</v>
      </c>
      <c r="P35" s="5"/>
      <c r="Q35" s="5"/>
      <c r="R35" s="5"/>
      <c r="S35" s="5"/>
      <c r="T35" s="6" t="n">
        <v>-116358</v>
      </c>
    </row>
    <row r="36">
      <c r="A36" s="4" t="s">
        <v>52</v>
      </c>
      <c r="B36" s="5"/>
      <c r="C36" s="5"/>
      <c r="D36" s="5"/>
      <c r="E36" s="5"/>
      <c r="F36" s="5"/>
      <c r="G36" s="5"/>
      <c r="H36" s="5"/>
      <c r="I36" s="5"/>
      <c r="J36" s="12" t="n">
        <v>-0.106</v>
      </c>
      <c r="K36" s="5"/>
      <c r="L36" s="5"/>
      <c r="M36" s="5"/>
      <c r="N36" s="5"/>
      <c r="O36" s="12" t="n">
        <v>-0.09</v>
      </c>
      <c r="P36" s="5"/>
      <c r="Q36" s="5"/>
      <c r="R36" s="5"/>
      <c r="S36" s="5"/>
      <c r="T36" s="12" t="n">
        <v>-0.037</v>
      </c>
    </row>
    <row r="37">
      <c r="A37" s="4" t="s">
        <v>53</v>
      </c>
      <c r="B37" s="5"/>
      <c r="C37" s="5"/>
      <c r="D37" s="5"/>
      <c r="E37" s="5"/>
      <c r="F37" s="5"/>
      <c r="G37" s="5"/>
      <c r="H37" s="5"/>
      <c r="I37" s="5"/>
      <c r="J37" s="12" t="n">
        <v>0.122</v>
      </c>
      <c r="K37" s="5"/>
      <c r="L37" s="5"/>
      <c r="M37" s="5"/>
      <c r="N37" s="5"/>
      <c r="O37" s="12" t="n">
        <v>0.156</v>
      </c>
      <c r="P37" s="5"/>
      <c r="Q37" s="5"/>
      <c r="R37" s="5"/>
      <c r="S37" s="5"/>
      <c r="T37" s="12" t="n">
        <v>0.159</v>
      </c>
    </row>
    <row r="38">
      <c r="A38" s="14" t="s">
        <v>54</v>
      </c>
      <c r="B38" s="13" t="str">
        <f>SUM(E7:E34)</f>
      </c>
      <c r="C38" s="13"/>
      <c r="D38" s="13"/>
      <c r="E38" s="13"/>
      <c r="F38" s="13" t="str">
        <f>H5+SUM(J9:J34)</f>
      </c>
      <c r="G38" s="13"/>
      <c r="H38" s="13"/>
      <c r="I38" s="13"/>
      <c r="J38" s="13"/>
      <c r="K38" s="13" t="str">
        <f>M5+SUM(O9:O34)</f>
      </c>
      <c r="L38" s="13"/>
      <c r="M38" s="13"/>
      <c r="N38" s="13"/>
      <c r="O38" s="13"/>
      <c r="P38" s="13" t="str">
        <f>R5+SUM(T9:T34)</f>
      </c>
      <c r="Q38" s="13"/>
      <c r="R38" s="13"/>
      <c r="S38" s="13"/>
      <c r="T38" s="13"/>
    </row>
    <row r="39">
      <c r="A39" s="15" t="s">
        <v>55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</row>
  </sheetData>
  <sheetProtection formatCells="0" formatColumns="0" insertColumns="1" insertRows="1" deleteColumns="1" deleteRows="1" sheet="1"/>
  <mergeCells count="50">
    <mergeCell ref="A1:T1"/>
    <mergeCell ref="B2:E2"/>
    <mergeCell ref="F2:J2"/>
    <mergeCell ref="K2:O2"/>
    <mergeCell ref="P2:T2"/>
    <mergeCell ref="B3:E3"/>
    <mergeCell ref="F3:J3"/>
    <mergeCell ref="K3:O3"/>
    <mergeCell ref="P3:T3"/>
    <mergeCell ref="B4:C4"/>
    <mergeCell ref="I4:J4"/>
    <mergeCell ref="N4:O4"/>
    <mergeCell ref="S4:T4"/>
    <mergeCell ref="D5:E5"/>
    <mergeCell ref="H5:J5"/>
    <mergeCell ref="M5:O5"/>
    <mergeCell ref="R5:T5"/>
    <mergeCell ref="B6:C6"/>
    <mergeCell ref="F6:H6"/>
    <mergeCell ref="K6:M6"/>
    <mergeCell ref="P6:R6"/>
    <mergeCell ref="B12:D12"/>
    <mergeCell ref="F12:H12"/>
    <mergeCell ref="K12:M12"/>
    <mergeCell ref="P12:R12"/>
    <mergeCell ref="B13:D13"/>
    <mergeCell ref="F13:H13"/>
    <mergeCell ref="K13:M13"/>
    <mergeCell ref="P13:R13"/>
    <mergeCell ref="B14:D14"/>
    <mergeCell ref="F14:H14"/>
    <mergeCell ref="K14:M14"/>
    <mergeCell ref="P14:R14"/>
    <mergeCell ref="B15:D15"/>
    <mergeCell ref="F15:H15"/>
    <mergeCell ref="K15:M15"/>
    <mergeCell ref="P15:R15"/>
    <mergeCell ref="B16:D16"/>
    <mergeCell ref="F16:H16"/>
    <mergeCell ref="K16:M16"/>
    <mergeCell ref="P16:R16"/>
    <mergeCell ref="B22:C22"/>
    <mergeCell ref="F22:H22"/>
    <mergeCell ref="K22:M22"/>
    <mergeCell ref="P22:R22"/>
    <mergeCell ref="B38:E38"/>
    <mergeCell ref="F38:J38"/>
    <mergeCell ref="K38:O38"/>
    <mergeCell ref="P38:T38"/>
    <mergeCell ref="A39:T39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9.71" hidden="0" customWidth="1"/>
    <col min="2" max="2" width="11.71" hidden="0" customWidth="1"/>
    <col min="3" max="3" width="8.71" hidden="0" customWidth="1"/>
    <col min="4" max="4" width="4.71" hidden="0" customWidth="1"/>
    <col min="5" max="5" width="12.71" hidden="0" customWidth="1"/>
    <col min="6" max="6" width="11.71" hidden="0" customWidth="1"/>
    <col min="7" max="7" width="8.71" hidden="0" customWidth="1"/>
    <col min="8" max="8" width="7.71" hidden="0" customWidth="1"/>
    <col min="9" max="9" width="12.71" hidden="0" customWidth="1"/>
    <col min="10" max="10" width="11.71" hidden="0" customWidth="1"/>
    <col min="11" max="11" width="11.71" hidden="0" customWidth="1"/>
    <col min="12" max="12" width="8.71" hidden="0" customWidth="1"/>
    <col min="13" max="13" width="7.71" hidden="0" customWidth="1"/>
    <col min="14" max="14" width="12.71" hidden="0" customWidth="1"/>
    <col min="15" max="15" width="11.71" hidden="0" customWidth="1"/>
    <col min="16" max="16" width="11.71" hidden="0" customWidth="1"/>
    <col min="17" max="17" width="8.71" hidden="0" customWidth="1"/>
    <col min="18" max="18" width="7.71" hidden="0" customWidth="1"/>
    <col min="19" max="19" width="12.71" hidden="0" customWidth="1"/>
    <col min="20" max="20" width="11.71" hidden="0" customWidth="1"/>
  </cols>
  <sheetData>
    <row r="1">
      <c r="A1" s="1" t="s">
        <v>56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2"/>
      <c r="B2" s="2" t="s">
        <v>1</v>
      </c>
      <c r="C2" s="2"/>
      <c r="D2" s="2"/>
      <c r="E2" s="2"/>
      <c r="F2" s="2" t="s">
        <v>57</v>
      </c>
      <c r="G2" s="2"/>
      <c r="H2" s="2"/>
      <c r="I2" s="2"/>
      <c r="J2" s="2"/>
      <c r="K2" s="2" t="s">
        <v>58</v>
      </c>
      <c r="L2" s="2"/>
      <c r="M2" s="2"/>
      <c r="N2" s="2"/>
      <c r="O2" s="2"/>
      <c r="P2" s="2" t="s">
        <v>59</v>
      </c>
      <c r="Q2" s="2"/>
      <c r="R2" s="2"/>
      <c r="S2" s="2"/>
      <c r="T2" s="2"/>
    </row>
    <row r="3">
      <c r="A3" s="4" t="s">
        <v>5</v>
      </c>
      <c r="B3" s="3" t="s">
        <v>6</v>
      </c>
      <c r="C3" s="3"/>
      <c r="D3" s="3"/>
      <c r="E3" s="3"/>
      <c r="F3" s="3" t="s">
        <v>60</v>
      </c>
      <c r="G3" s="3"/>
      <c r="H3" s="3"/>
      <c r="I3" s="3"/>
      <c r="J3" s="3"/>
      <c r="K3" s="3" t="s">
        <v>61</v>
      </c>
      <c r="L3" s="3"/>
      <c r="M3" s="3"/>
      <c r="N3" s="3"/>
      <c r="O3" s="3"/>
      <c r="P3" s="3" t="s">
        <v>62</v>
      </c>
      <c r="Q3" s="3"/>
      <c r="R3" s="3"/>
      <c r="S3" s="3"/>
      <c r="T3" s="3"/>
    </row>
    <row r="4">
      <c r="A4" s="4" t="s">
        <v>10</v>
      </c>
      <c r="B4" s="5" t="s">
        <v>11</v>
      </c>
      <c r="C4" s="5"/>
      <c r="D4" s="5" t="n">
        <v>6</v>
      </c>
      <c r="E4" s="5" t="s">
        <v>12</v>
      </c>
      <c r="F4" s="5" t="s">
        <v>63</v>
      </c>
      <c r="G4" s="5" t="s">
        <v>64</v>
      </c>
      <c r="H4" s="5" t="n">
        <v>10</v>
      </c>
      <c r="I4" s="5" t="s">
        <v>65</v>
      </c>
      <c r="J4" s="5"/>
      <c r="K4" s="5" t="s">
        <v>66</v>
      </c>
      <c r="L4" s="5" t="s">
        <v>67</v>
      </c>
      <c r="M4" s="5" t="n">
        <v>37</v>
      </c>
      <c r="N4" s="5" t="s">
        <v>68</v>
      </c>
      <c r="O4" s="5"/>
      <c r="P4" s="5" t="s">
        <v>69</v>
      </c>
      <c r="Q4" s="5" t="s">
        <v>70</v>
      </c>
      <c r="R4" s="5" t="n">
        <v>3</v>
      </c>
      <c r="S4" s="5" t="s">
        <v>21</v>
      </c>
      <c r="T4" s="5"/>
    </row>
    <row r="5">
      <c r="A5" s="4" t="s">
        <v>22</v>
      </c>
      <c r="B5" s="5" t="s">
        <v>23</v>
      </c>
      <c r="C5" s="6" t="n">
        <v>0</v>
      </c>
      <c r="D5" s="5" t="s">
        <v>23</v>
      </c>
      <c r="E5" s="5"/>
      <c r="F5" s="6" t="n">
        <v>2881000</v>
      </c>
      <c r="G5" s="6" t="n">
        <v>0</v>
      </c>
      <c r="H5" s="6" t="str">
        <f>F5-G5</f>
      </c>
      <c r="I5" s="5"/>
      <c r="J5" s="5"/>
      <c r="K5" s="6" t="n">
        <v>3331000</v>
      </c>
      <c r="L5" s="6" t="n">
        <v>0</v>
      </c>
      <c r="M5" s="6" t="str">
        <f>K5-L5</f>
      </c>
      <c r="N5" s="5"/>
      <c r="O5" s="5"/>
      <c r="P5" s="6" t="n">
        <v>3054000</v>
      </c>
      <c r="Q5" s="6" t="n">
        <v>0</v>
      </c>
      <c r="R5" s="6" t="str">
        <f>P5-Q5</f>
      </c>
      <c r="S5" s="5"/>
      <c r="T5" s="5"/>
    </row>
    <row r="6">
      <c r="A6" s="4" t="s">
        <v>24</v>
      </c>
      <c r="B6" s="3" t="s">
        <v>25</v>
      </c>
      <c r="C6" s="3"/>
      <c r="D6" s="3"/>
      <c r="E6" s="3" t="s">
        <v>26</v>
      </c>
      <c r="F6" s="3" t="s">
        <v>25</v>
      </c>
      <c r="G6" s="3"/>
      <c r="H6" s="3"/>
      <c r="I6" s="3" t="s">
        <v>26</v>
      </c>
      <c r="J6" s="3" t="s">
        <v>27</v>
      </c>
      <c r="K6" s="3" t="s">
        <v>25</v>
      </c>
      <c r="L6" s="3"/>
      <c r="M6" s="3"/>
      <c r="N6" s="3" t="s">
        <v>26</v>
      </c>
      <c r="O6" s="3" t="s">
        <v>27</v>
      </c>
      <c r="P6" s="3" t="s">
        <v>25</v>
      </c>
      <c r="Q6" s="3"/>
      <c r="R6" s="3"/>
      <c r="S6" s="3" t="s">
        <v>26</v>
      </c>
      <c r="T6" s="3" t="s">
        <v>27</v>
      </c>
    </row>
    <row r="7">
      <c r="A7" s="4" t="s">
        <v>28</v>
      </c>
      <c r="B7" s="5"/>
      <c r="C7" s="5"/>
      <c r="D7" s="5"/>
      <c r="E7" s="6" t="n">
        <v>-4456942</v>
      </c>
      <c r="F7" s="5"/>
      <c r="G7" s="5"/>
      <c r="H7" s="5"/>
      <c r="I7" s="6" t="n">
        <v>-4456942</v>
      </c>
      <c r="J7" s="5"/>
      <c r="K7" s="5"/>
      <c r="L7" s="5"/>
      <c r="M7" s="5"/>
      <c r="N7" s="6" t="n">
        <v>-4456942</v>
      </c>
      <c r="O7" s="5"/>
      <c r="P7" s="5"/>
      <c r="Q7" s="5"/>
      <c r="R7" s="5"/>
      <c r="S7" s="6" t="n">
        <v>-4456942</v>
      </c>
      <c r="T7" s="5"/>
    </row>
    <row r="8">
      <c r="A8" s="4" t="s">
        <v>29</v>
      </c>
      <c r="B8" s="5"/>
      <c r="C8" s="5" t="n">
        <v>13</v>
      </c>
      <c r="D8" s="5" t="n">
        <v>6</v>
      </c>
      <c r="E8" s="5"/>
      <c r="F8" s="5"/>
      <c r="G8" s="5" t="n">
        <v>202</v>
      </c>
      <c r="H8" s="5" t="n">
        <v>10</v>
      </c>
      <c r="I8" s="5"/>
      <c r="J8" s="5"/>
      <c r="K8" s="5"/>
      <c r="L8" s="5" t="n">
        <v>524</v>
      </c>
      <c r="M8" s="5" t="n">
        <v>37</v>
      </c>
      <c r="N8" s="5"/>
      <c r="O8" s="5"/>
      <c r="P8" s="5"/>
      <c r="Q8" s="5" t="n">
        <v>401</v>
      </c>
      <c r="R8" s="5" t="n">
        <v>3</v>
      </c>
      <c r="S8" s="5"/>
      <c r="T8" s="5"/>
    </row>
    <row r="9">
      <c r="A9" s="4" t="s">
        <v>30</v>
      </c>
      <c r="B9" s="5" t="n">
        <v>-121.45</v>
      </c>
      <c r="C9" s="5" t="n">
        <v>37.72</v>
      </c>
      <c r="D9" s="5" t="n">
        <v>466</v>
      </c>
      <c r="E9" s="7" t="n">
        <v>7138065</v>
      </c>
      <c r="F9" s="5" t="n">
        <v>-121.453</v>
      </c>
      <c r="G9" s="5" t="n">
        <v>37.719</v>
      </c>
      <c r="H9" s="5" t="n">
        <v>466</v>
      </c>
      <c r="I9" s="7" t="n">
        <v>7189287</v>
      </c>
      <c r="J9" s="8" t="n">
        <v>-51222</v>
      </c>
      <c r="K9" s="5" t="n">
        <v>-121.458</v>
      </c>
      <c r="L9" s="5" t="n">
        <v>37.724</v>
      </c>
      <c r="M9" s="5" t="n">
        <v>466</v>
      </c>
      <c r="N9" s="7" t="n">
        <v>7130256</v>
      </c>
      <c r="O9" s="8" t="n">
        <v>7809</v>
      </c>
      <c r="P9" s="5" t="n">
        <v>-121.451</v>
      </c>
      <c r="Q9" s="5" t="n">
        <v>37.719</v>
      </c>
      <c r="R9" s="5" t="n">
        <v>466</v>
      </c>
      <c r="S9" s="7" t="n">
        <v>7141927</v>
      </c>
      <c r="T9" s="8" t="n">
        <v>-3862</v>
      </c>
    </row>
    <row r="10">
      <c r="A10" s="4" t="s">
        <v>31</v>
      </c>
      <c r="B10" s="5" t="n">
        <v>5984</v>
      </c>
      <c r="C10" s="5"/>
      <c r="D10" s="5"/>
      <c r="E10" s="7" t="n">
        <v>42684</v>
      </c>
      <c r="F10" s="5" t="n">
        <v>5974</v>
      </c>
      <c r="G10" s="5"/>
      <c r="H10" s="5"/>
      <c r="I10" s="7" t="n">
        <v>42613</v>
      </c>
      <c r="J10" s="8" t="n">
        <v>71</v>
      </c>
      <c r="K10" s="5" t="n">
        <v>5969</v>
      </c>
      <c r="L10" s="5"/>
      <c r="M10" s="5"/>
      <c r="N10" s="7" t="n">
        <v>42578</v>
      </c>
      <c r="O10" s="8" t="n">
        <v>106</v>
      </c>
      <c r="P10" s="5" t="n">
        <v>5984</v>
      </c>
      <c r="Q10" s="5"/>
      <c r="R10" s="5"/>
      <c r="S10" s="7" t="n">
        <v>42684</v>
      </c>
      <c r="T10" s="8" t="n">
        <v>0</v>
      </c>
    </row>
    <row r="11">
      <c r="A11" s="4" t="s">
        <v>32</v>
      </c>
      <c r="B11" s="5" t="n">
        <v>78</v>
      </c>
      <c r="C11" s="5"/>
      <c r="D11" s="5"/>
      <c r="E11" s="7" t="n">
        <v>65436</v>
      </c>
      <c r="F11" s="5" t="n">
        <v>102</v>
      </c>
      <c r="G11" s="5"/>
      <c r="H11" s="5"/>
      <c r="I11" s="7" t="n">
        <v>78455</v>
      </c>
      <c r="J11" s="8" t="n">
        <v>-13019</v>
      </c>
      <c r="K11" s="5" t="n">
        <v>101</v>
      </c>
      <c r="L11" s="5"/>
      <c r="M11" s="5"/>
      <c r="N11" s="7" t="n">
        <v>82738</v>
      </c>
      <c r="O11" s="8" t="n">
        <v>-17302</v>
      </c>
      <c r="P11" s="5" t="n">
        <v>86</v>
      </c>
      <c r="Q11" s="5"/>
      <c r="R11" s="5"/>
      <c r="S11" s="7" t="n">
        <v>68202</v>
      </c>
      <c r="T11" s="8" t="n">
        <v>-2766</v>
      </c>
    </row>
    <row r="12">
      <c r="A12" s="4" t="s">
        <v>33</v>
      </c>
      <c r="B12" s="5" t="n">
        <v>13</v>
      </c>
      <c r="C12" s="5"/>
      <c r="D12" s="5"/>
      <c r="E12" s="6" t="n">
        <v>149278</v>
      </c>
      <c r="F12" s="5" t="n">
        <v>202</v>
      </c>
      <c r="G12" s="5"/>
      <c r="H12" s="5"/>
      <c r="I12" s="6" t="n">
        <v>146920</v>
      </c>
      <c r="J12" s="6" t="n">
        <v>2358</v>
      </c>
      <c r="K12" s="5" t="n">
        <v>524</v>
      </c>
      <c r="L12" s="5"/>
      <c r="M12" s="5"/>
      <c r="N12" s="6" t="n">
        <v>142903</v>
      </c>
      <c r="O12" s="6" t="n">
        <v>6375</v>
      </c>
      <c r="P12" s="5" t="n">
        <v>401</v>
      </c>
      <c r="Q12" s="5"/>
      <c r="R12" s="5"/>
      <c r="S12" s="6" t="n">
        <v>144437</v>
      </c>
      <c r="T12" s="6" t="n">
        <v>4840</v>
      </c>
    </row>
    <row r="13">
      <c r="A13" s="4" t="s">
        <v>34</v>
      </c>
      <c r="B13" s="5" t="n">
        <v>1764</v>
      </c>
      <c r="C13" s="5"/>
      <c r="D13" s="5"/>
      <c r="E13" s="6" t="n">
        <v>-200962</v>
      </c>
      <c r="F13" s="5" t="n">
        <v>1710</v>
      </c>
      <c r="G13" s="5"/>
      <c r="H13" s="5"/>
      <c r="I13" s="6" t="n">
        <v>-244381</v>
      </c>
      <c r="J13" s="6" t="n">
        <v>43419</v>
      </c>
      <c r="K13" s="5" t="n">
        <v>1935</v>
      </c>
      <c r="L13" s="5"/>
      <c r="M13" s="5"/>
      <c r="N13" s="6" t="n">
        <v>-68722</v>
      </c>
      <c r="O13" s="6" t="n">
        <v>-132239</v>
      </c>
      <c r="P13" s="5" t="n">
        <v>1950</v>
      </c>
      <c r="Q13" s="5"/>
      <c r="R13" s="5"/>
      <c r="S13" s="6" t="n">
        <v>-57502</v>
      </c>
      <c r="T13" s="6" t="n">
        <v>-143460</v>
      </c>
    </row>
    <row r="14">
      <c r="A14" s="4" t="s">
        <v>35</v>
      </c>
      <c r="B14" s="5" t="n">
        <v>3</v>
      </c>
      <c r="C14" s="5"/>
      <c r="D14" s="5"/>
      <c r="E14" s="6" t="n">
        <v>65531</v>
      </c>
      <c r="F14" s="5" t="n">
        <v>3</v>
      </c>
      <c r="G14" s="5"/>
      <c r="H14" s="5"/>
      <c r="I14" s="6" t="n">
        <v>65531</v>
      </c>
      <c r="J14" s="6" t="n">
        <v>0</v>
      </c>
      <c r="K14" s="5" t="n">
        <v>3</v>
      </c>
      <c r="L14" s="5"/>
      <c r="M14" s="5"/>
      <c r="N14" s="6" t="n">
        <v>65531</v>
      </c>
      <c r="O14" s="6" t="n">
        <v>0</v>
      </c>
      <c r="P14" s="5" t="n">
        <v>3</v>
      </c>
      <c r="Q14" s="5"/>
      <c r="R14" s="5"/>
      <c r="S14" s="6" t="n">
        <v>65531</v>
      </c>
      <c r="T14" s="6" t="n">
        <v>0</v>
      </c>
    </row>
    <row r="15">
      <c r="A15" s="4" t="s">
        <v>36</v>
      </c>
      <c r="B15" s="5" t="n">
        <v>2</v>
      </c>
      <c r="C15" s="5"/>
      <c r="D15" s="5"/>
      <c r="E15" s="6" t="n">
        <v>-54226</v>
      </c>
      <c r="F15" s="5" t="n">
        <v>2</v>
      </c>
      <c r="G15" s="5"/>
      <c r="H15" s="5"/>
      <c r="I15" s="6" t="n">
        <v>-54226</v>
      </c>
      <c r="J15" s="6" t="n">
        <v>0</v>
      </c>
      <c r="K15" s="5" t="n">
        <v>2</v>
      </c>
      <c r="L15" s="5"/>
      <c r="M15" s="5"/>
      <c r="N15" s="6" t="n">
        <v>-54226</v>
      </c>
      <c r="O15" s="6" t="n">
        <v>0</v>
      </c>
      <c r="P15" s="5" t="n">
        <v>2</v>
      </c>
      <c r="Q15" s="5"/>
      <c r="R15" s="5"/>
      <c r="S15" s="6" t="n">
        <v>-54226</v>
      </c>
      <c r="T15" s="6" t="n">
        <v>0</v>
      </c>
    </row>
    <row r="16">
      <c r="A16" s="4" t="s">
        <v>37</v>
      </c>
      <c r="B16" s="5" t="n">
        <v>1</v>
      </c>
      <c r="C16" s="5"/>
      <c r="D16" s="5"/>
      <c r="E16" s="6" t="n">
        <v>4969</v>
      </c>
      <c r="F16" s="5" t="n">
        <v>2</v>
      </c>
      <c r="G16" s="5"/>
      <c r="H16" s="5"/>
      <c r="I16" s="6" t="n">
        <v>14727</v>
      </c>
      <c r="J16" s="6" t="n">
        <v>-9758</v>
      </c>
      <c r="K16" s="5" t="n">
        <v>2</v>
      </c>
      <c r="L16" s="5"/>
      <c r="M16" s="5"/>
      <c r="N16" s="6" t="n">
        <v>14727</v>
      </c>
      <c r="O16" s="6" t="n">
        <v>-9758</v>
      </c>
      <c r="P16" s="5" t="n">
        <v>2</v>
      </c>
      <c r="Q16" s="5"/>
      <c r="R16" s="5"/>
      <c r="S16" s="6" t="n">
        <v>14727</v>
      </c>
      <c r="T16" s="6" t="n">
        <v>-9758</v>
      </c>
    </row>
    <row r="17">
      <c r="A17" s="4" t="s">
        <v>38</v>
      </c>
      <c r="B17" s="5"/>
      <c r="C17" s="5"/>
      <c r="D17" s="5"/>
      <c r="E17" s="6" t="n">
        <v>-77316</v>
      </c>
      <c r="F17" s="5"/>
      <c r="G17" s="5"/>
      <c r="H17" s="5"/>
      <c r="I17" s="6" t="n">
        <v>-69093</v>
      </c>
      <c r="J17" s="6" t="n">
        <v>-8223</v>
      </c>
      <c r="K17" s="5"/>
      <c r="L17" s="5"/>
      <c r="M17" s="5"/>
      <c r="N17" s="6" t="n">
        <v>-25615</v>
      </c>
      <c r="O17" s="6" t="n">
        <v>-51701</v>
      </c>
      <c r="P17" s="5"/>
      <c r="Q17" s="5"/>
      <c r="R17" s="5"/>
      <c r="S17" s="6" t="n">
        <v>-33477</v>
      </c>
      <c r="T17" s="6" t="n">
        <v>-43838</v>
      </c>
    </row>
    <row r="18">
      <c r="A18" s="4" t="s">
        <v>39</v>
      </c>
      <c r="B18" s="5"/>
      <c r="C18" s="5"/>
      <c r="D18" s="5"/>
      <c r="E18" s="6" t="n">
        <v>-156</v>
      </c>
      <c r="F18" s="5"/>
      <c r="G18" s="5"/>
      <c r="H18" s="5"/>
      <c r="I18" s="6" t="n">
        <v>-188</v>
      </c>
      <c r="J18" s="6" t="n">
        <v>32</v>
      </c>
      <c r="K18" s="5"/>
      <c r="L18" s="5"/>
      <c r="M18" s="5"/>
      <c r="N18" s="6" t="n">
        <v>-56</v>
      </c>
      <c r="O18" s="6" t="n">
        <v>-100</v>
      </c>
      <c r="P18" s="5"/>
      <c r="Q18" s="5"/>
      <c r="R18" s="5"/>
      <c r="S18" s="6" t="n">
        <v>-48</v>
      </c>
      <c r="T18" s="6" t="n">
        <v>-108</v>
      </c>
    </row>
    <row r="19">
      <c r="A19" s="4" t="s">
        <v>40</v>
      </c>
      <c r="B19" s="5"/>
      <c r="C19" s="5"/>
      <c r="D19" s="5"/>
      <c r="E19" s="6" t="n">
        <v>23961</v>
      </c>
      <c r="F19" s="5"/>
      <c r="G19" s="5"/>
      <c r="H19" s="5"/>
      <c r="I19" s="6" t="n">
        <v>27802</v>
      </c>
      <c r="J19" s="6" t="n">
        <v>-3840</v>
      </c>
      <c r="K19" s="5"/>
      <c r="L19" s="5"/>
      <c r="M19" s="5"/>
      <c r="N19" s="6" t="n">
        <v>11799</v>
      </c>
      <c r="O19" s="6" t="n">
        <v>12162</v>
      </c>
      <c r="P19" s="5"/>
      <c r="Q19" s="5"/>
      <c r="R19" s="5"/>
      <c r="S19" s="6" t="n">
        <v>10732</v>
      </c>
      <c r="T19" s="6" t="n">
        <v>13229</v>
      </c>
    </row>
    <row r="20">
      <c r="A20" s="4" t="s">
        <v>41</v>
      </c>
      <c r="B20" s="5"/>
      <c r="C20" s="5"/>
      <c r="D20" s="5"/>
      <c r="E20" s="6" t="n">
        <v>-123720</v>
      </c>
      <c r="F20" s="5"/>
      <c r="G20" s="5"/>
      <c r="H20" s="5"/>
      <c r="I20" s="6" t="n">
        <v>-51306</v>
      </c>
      <c r="J20" s="6" t="n">
        <v>-72414</v>
      </c>
      <c r="K20" s="5"/>
      <c r="L20" s="5"/>
      <c r="M20" s="5"/>
      <c r="N20" s="6" t="n">
        <v>-36728</v>
      </c>
      <c r="O20" s="6" t="n">
        <v>-86992</v>
      </c>
      <c r="P20" s="5"/>
      <c r="Q20" s="5"/>
      <c r="R20" s="5"/>
      <c r="S20" s="6" t="n">
        <v>-53663</v>
      </c>
      <c r="T20" s="6" t="n">
        <v>-70058</v>
      </c>
    </row>
    <row r="21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>
      <c r="A22" s="4" t="s">
        <v>42</v>
      </c>
      <c r="B22" s="3" t="s">
        <v>43</v>
      </c>
      <c r="C22" s="3"/>
      <c r="D22" s="3"/>
      <c r="E22" s="3" t="s">
        <v>26</v>
      </c>
      <c r="F22" s="3" t="s">
        <v>44</v>
      </c>
      <c r="G22" s="3"/>
      <c r="H22" s="3"/>
      <c r="I22" s="3" t="s">
        <v>26</v>
      </c>
      <c r="J22" s="3" t="s">
        <v>27</v>
      </c>
      <c r="K22" s="3" t="s">
        <v>44</v>
      </c>
      <c r="L22" s="3"/>
      <c r="M22" s="3"/>
      <c r="N22" s="3" t="s">
        <v>26</v>
      </c>
      <c r="O22" s="3" t="s">
        <v>27</v>
      </c>
      <c r="P22" s="3" t="s">
        <v>44</v>
      </c>
      <c r="Q22" s="3"/>
      <c r="R22" s="3"/>
      <c r="S22" s="3" t="s">
        <v>26</v>
      </c>
      <c r="T22" s="3" t="s">
        <v>27</v>
      </c>
    </row>
    <row r="23">
      <c r="A23" s="4" t="s">
        <v>45</v>
      </c>
      <c r="B23" s="9" t="n">
        <v>9.1</v>
      </c>
      <c r="C23" s="2"/>
      <c r="D23" s="2"/>
      <c r="E23" s="11" t="str">
        <f>435038-SUM(E24:E34)</f>
      </c>
      <c r="F23" s="9" t="n">
        <v>7.21</v>
      </c>
      <c r="G23" s="5"/>
      <c r="H23" s="5"/>
      <c r="I23" s="10" t="str">
        <f>191799-SUM(I24:I34)</f>
      </c>
      <c r="J23" s="10" t="str">
        <f>E23-I23</f>
      </c>
      <c r="K23" s="9" t="n">
        <v>9.02</v>
      </c>
      <c r="L23" s="5"/>
      <c r="M23" s="5"/>
      <c r="N23" s="10" t="str">
        <f>482758-SUM(N24:N34)</f>
      </c>
      <c r="O23" s="10" t="str">
        <f>E23-N23</f>
      </c>
      <c r="P23" s="9" t="n">
        <v>7.48</v>
      </c>
      <c r="Q23" s="5"/>
      <c r="R23" s="5"/>
      <c r="S23" s="10" t="str">
        <f>221615-SUM(S24:S34)</f>
      </c>
      <c r="T23" s="10" t="str">
        <f>E23-S23</f>
      </c>
    </row>
    <row r="24">
      <c r="A24" s="4" t="s">
        <v>46</v>
      </c>
      <c r="B24" s="5"/>
      <c r="C24" s="5"/>
      <c r="D24" s="5"/>
      <c r="E24" s="16" t="n">
        <v>0</v>
      </c>
      <c r="F24" s="5"/>
      <c r="G24" s="5"/>
      <c r="H24" s="5"/>
      <c r="I24" s="16" t="n">
        <v>0</v>
      </c>
      <c r="J24" s="8" t="str">
        <f>E24-I24</f>
      </c>
      <c r="K24" s="5"/>
      <c r="L24" s="5"/>
      <c r="M24" s="5"/>
      <c r="N24" s="16" t="n">
        <v>0</v>
      </c>
      <c r="O24" s="8" t="str">
        <f>E24-N24</f>
      </c>
      <c r="P24" s="5"/>
      <c r="Q24" s="5"/>
      <c r="R24" s="5"/>
      <c r="S24" s="16" t="n">
        <v>0</v>
      </c>
      <c r="T24" s="8" t="str">
        <f>E24-S24</f>
      </c>
    </row>
    <row r="25">
      <c r="A25" s="4" t="s">
        <v>47</v>
      </c>
      <c r="B25" s="5"/>
      <c r="C25" s="5"/>
      <c r="D25" s="5"/>
      <c r="E25" s="16" t="n">
        <v>0</v>
      </c>
      <c r="F25" s="5"/>
      <c r="G25" s="5"/>
      <c r="H25" s="5"/>
      <c r="I25" s="16" t="n">
        <v>0</v>
      </c>
      <c r="J25" s="8" t="str">
        <f>E25-I25</f>
      </c>
      <c r="K25" s="5"/>
      <c r="L25" s="5"/>
      <c r="M25" s="5"/>
      <c r="N25" s="16" t="n">
        <v>0</v>
      </c>
      <c r="O25" s="8" t="str">
        <f>E25-N25</f>
      </c>
      <c r="P25" s="5"/>
      <c r="Q25" s="5"/>
      <c r="R25" s="5"/>
      <c r="S25" s="16" t="n">
        <v>0</v>
      </c>
      <c r="T25" s="8" t="str">
        <f>E25-S25</f>
      </c>
    </row>
    <row r="26">
      <c r="A26" s="4" t="s">
        <v>48</v>
      </c>
      <c r="B26" s="5"/>
      <c r="C26" s="5"/>
      <c r="D26" s="5"/>
      <c r="E26" s="16" t="n">
        <v>0</v>
      </c>
      <c r="F26" s="5"/>
      <c r="G26" s="5"/>
      <c r="H26" s="5"/>
      <c r="I26" s="16" t="n">
        <v>0</v>
      </c>
      <c r="J26" s="8" t="str">
        <f>E26-I26</f>
      </c>
      <c r="K26" s="5"/>
      <c r="L26" s="5"/>
      <c r="M26" s="5"/>
      <c r="N26" s="16" t="n">
        <v>0</v>
      </c>
      <c r="O26" s="8" t="str">
        <f>E26-N26</f>
      </c>
      <c r="P26" s="5"/>
      <c r="Q26" s="5"/>
      <c r="R26" s="5"/>
      <c r="S26" s="16" t="n">
        <v>0</v>
      </c>
      <c r="T26" s="8" t="str">
        <f>E26-S26</f>
      </c>
    </row>
    <row r="27">
      <c r="A27" s="4" t="s">
        <v>49</v>
      </c>
      <c r="B27" s="5"/>
      <c r="C27" s="5"/>
      <c r="D27" s="5"/>
      <c r="E27" s="16" t="n">
        <v>0</v>
      </c>
      <c r="F27" s="5"/>
      <c r="G27" s="5"/>
      <c r="H27" s="5"/>
      <c r="I27" s="16" t="n">
        <v>0</v>
      </c>
      <c r="J27" s="8" t="str">
        <f>E27-I27</f>
      </c>
      <c r="K27" s="5"/>
      <c r="L27" s="5"/>
      <c r="M27" s="5"/>
      <c r="N27" s="16" t="n">
        <v>0</v>
      </c>
      <c r="O27" s="8" t="str">
        <f>E27-N27</f>
      </c>
      <c r="P27" s="5"/>
      <c r="Q27" s="5"/>
      <c r="R27" s="5"/>
      <c r="S27" s="16" t="n">
        <v>0</v>
      </c>
      <c r="T27" s="8" t="str">
        <f>E27-S27</f>
      </c>
    </row>
    <row r="28">
      <c r="A28" s="4" t="s">
        <v>50</v>
      </c>
      <c r="B28" s="5"/>
      <c r="C28" s="5"/>
      <c r="D28" s="5"/>
      <c r="E28" s="16" t="n">
        <v>0</v>
      </c>
      <c r="F28" s="5"/>
      <c r="G28" s="5"/>
      <c r="H28" s="5"/>
      <c r="I28" s="16" t="n">
        <v>0</v>
      </c>
      <c r="J28" s="8" t="str">
        <f>E28-I28</f>
      </c>
      <c r="K28" s="5"/>
      <c r="L28" s="5"/>
      <c r="M28" s="5"/>
      <c r="N28" s="16" t="n">
        <v>0</v>
      </c>
      <c r="O28" s="8" t="str">
        <f>E28-N28</f>
      </c>
      <c r="P28" s="5"/>
      <c r="Q28" s="5"/>
      <c r="R28" s="5"/>
      <c r="S28" s="16" t="n">
        <v>0</v>
      </c>
      <c r="T28" s="8" t="str">
        <f>E28-S28</f>
      </c>
    </row>
    <row r="29">
      <c r="A29" s="4"/>
      <c r="B29" s="5"/>
      <c r="C29" s="5"/>
      <c r="D29" s="5"/>
      <c r="E29" s="16" t="n">
        <v>0</v>
      </c>
      <c r="F29" s="5"/>
      <c r="G29" s="5"/>
      <c r="H29" s="5"/>
      <c r="I29" s="16" t="n">
        <v>0</v>
      </c>
      <c r="J29" s="8" t="str">
        <f>E29-I29</f>
      </c>
      <c r="K29" s="5"/>
      <c r="L29" s="5"/>
      <c r="M29" s="5"/>
      <c r="N29" s="16" t="n">
        <v>0</v>
      </c>
      <c r="O29" s="8" t="str">
        <f>E29-N29</f>
      </c>
      <c r="P29" s="5"/>
      <c r="Q29" s="5"/>
      <c r="R29" s="5"/>
      <c r="S29" s="16" t="n">
        <v>0</v>
      </c>
      <c r="T29" s="8" t="str">
        <f>E29-S29</f>
      </c>
    </row>
    <row r="30">
      <c r="A30" s="4"/>
      <c r="B30" s="5"/>
      <c r="C30" s="5"/>
      <c r="D30" s="5"/>
      <c r="E30" s="16" t="n">
        <v>0</v>
      </c>
      <c r="F30" s="5"/>
      <c r="G30" s="5"/>
      <c r="H30" s="5"/>
      <c r="I30" s="16" t="n">
        <v>0</v>
      </c>
      <c r="J30" s="8" t="str">
        <f>E30-I30</f>
      </c>
      <c r="K30" s="5"/>
      <c r="L30" s="5"/>
      <c r="M30" s="5"/>
      <c r="N30" s="16" t="n">
        <v>0</v>
      </c>
      <c r="O30" s="8" t="str">
        <f>E30-N30</f>
      </c>
      <c r="P30" s="5"/>
      <c r="Q30" s="5"/>
      <c r="R30" s="5"/>
      <c r="S30" s="16" t="n">
        <v>0</v>
      </c>
      <c r="T30" s="8" t="str">
        <f>E30-S30</f>
      </c>
    </row>
    <row r="31">
      <c r="A31" s="4"/>
      <c r="B31" s="5"/>
      <c r="C31" s="5"/>
      <c r="D31" s="5"/>
      <c r="E31" s="16" t="n">
        <v>0</v>
      </c>
      <c r="F31" s="5"/>
      <c r="G31" s="5"/>
      <c r="H31" s="5"/>
      <c r="I31" s="16" t="n">
        <v>0</v>
      </c>
      <c r="J31" s="8" t="str">
        <f>E31-I31</f>
      </c>
      <c r="K31" s="5"/>
      <c r="L31" s="5"/>
      <c r="M31" s="5"/>
      <c r="N31" s="16" t="n">
        <v>0</v>
      </c>
      <c r="O31" s="8" t="str">
        <f>E31-N31</f>
      </c>
      <c r="P31" s="5"/>
      <c r="Q31" s="5"/>
      <c r="R31" s="5"/>
      <c r="S31" s="16" t="n">
        <v>0</v>
      </c>
      <c r="T31" s="8" t="str">
        <f>E31-S31</f>
      </c>
    </row>
    <row r="32">
      <c r="A32" s="4"/>
      <c r="B32" s="5"/>
      <c r="C32" s="5"/>
      <c r="D32" s="5"/>
      <c r="E32" s="16" t="n">
        <v>0</v>
      </c>
      <c r="F32" s="5"/>
      <c r="G32" s="5"/>
      <c r="H32" s="5"/>
      <c r="I32" s="16" t="n">
        <v>0</v>
      </c>
      <c r="J32" s="8" t="str">
        <f>E32-I32</f>
      </c>
      <c r="K32" s="5"/>
      <c r="L32" s="5"/>
      <c r="M32" s="5"/>
      <c r="N32" s="16" t="n">
        <v>0</v>
      </c>
      <c r="O32" s="8" t="str">
        <f>E32-N32</f>
      </c>
      <c r="P32" s="5"/>
      <c r="Q32" s="5"/>
      <c r="R32" s="5"/>
      <c r="S32" s="16" t="n">
        <v>0</v>
      </c>
      <c r="T32" s="8" t="str">
        <f>E32-S32</f>
      </c>
    </row>
    <row r="33">
      <c r="A33" s="4"/>
      <c r="B33" s="5"/>
      <c r="C33" s="5"/>
      <c r="D33" s="5"/>
      <c r="E33" s="16" t="n">
        <v>0</v>
      </c>
      <c r="F33" s="5"/>
      <c r="G33" s="5"/>
      <c r="H33" s="5"/>
      <c r="I33" s="16" t="n">
        <v>0</v>
      </c>
      <c r="J33" s="8" t="str">
        <f>E33-I33</f>
      </c>
      <c r="K33" s="5"/>
      <c r="L33" s="5"/>
      <c r="M33" s="5"/>
      <c r="N33" s="16" t="n">
        <v>0</v>
      </c>
      <c r="O33" s="8" t="str">
        <f>E33-N33</f>
      </c>
      <c r="P33" s="5"/>
      <c r="Q33" s="5"/>
      <c r="R33" s="5"/>
      <c r="S33" s="16" t="n">
        <v>0</v>
      </c>
      <c r="T33" s="8" t="str">
        <f>E33-S33</f>
      </c>
    </row>
    <row r="34">
      <c r="A34" s="4"/>
      <c r="B34" s="5"/>
      <c r="C34" s="5"/>
      <c r="D34" s="5"/>
      <c r="E34" s="16" t="n">
        <v>0</v>
      </c>
      <c r="F34" s="5"/>
      <c r="G34" s="5"/>
      <c r="H34" s="5"/>
      <c r="I34" s="16" t="n">
        <v>0</v>
      </c>
      <c r="J34" s="8" t="str">
        <f>E34-I34</f>
      </c>
      <c r="K34" s="5"/>
      <c r="L34" s="5"/>
      <c r="M34" s="5"/>
      <c r="N34" s="16" t="n">
        <v>0</v>
      </c>
      <c r="O34" s="8" t="str">
        <f>E34-N34</f>
      </c>
      <c r="P34" s="5"/>
      <c r="Q34" s="5"/>
      <c r="R34" s="5"/>
      <c r="S34" s="16" t="n">
        <v>0</v>
      </c>
      <c r="T34" s="8" t="str">
        <f>E34-S34</f>
      </c>
    </row>
    <row r="35">
      <c r="A35" s="4" t="s">
        <v>51</v>
      </c>
      <c r="B35" s="5"/>
      <c r="C35" s="5"/>
      <c r="D35" s="5"/>
      <c r="E35" s="6" t="n">
        <v>2576602</v>
      </c>
      <c r="F35" s="5"/>
      <c r="G35" s="5"/>
      <c r="H35" s="5"/>
      <c r="I35" s="5"/>
      <c r="J35" s="6" t="n">
        <v>130642</v>
      </c>
      <c r="K35" s="5"/>
      <c r="L35" s="5"/>
      <c r="M35" s="5"/>
      <c r="N35" s="5"/>
      <c r="O35" s="6" t="n">
        <v>-319358</v>
      </c>
      <c r="P35" s="5"/>
      <c r="Q35" s="5"/>
      <c r="R35" s="5"/>
      <c r="S35" s="5"/>
      <c r="T35" s="6" t="n">
        <v>-42358</v>
      </c>
    </row>
    <row r="36">
      <c r="A36" s="4" t="s">
        <v>52</v>
      </c>
      <c r="B36" s="5"/>
      <c r="C36" s="5"/>
      <c r="D36" s="5"/>
      <c r="E36" s="5"/>
      <c r="F36" s="5"/>
      <c r="G36" s="5"/>
      <c r="H36" s="5"/>
      <c r="I36" s="5"/>
      <c r="J36" s="12" t="n">
        <v>0.045</v>
      </c>
      <c r="K36" s="5"/>
      <c r="L36" s="5"/>
      <c r="M36" s="5"/>
      <c r="N36" s="5"/>
      <c r="O36" s="12" t="n">
        <v>-0.096</v>
      </c>
      <c r="P36" s="5"/>
      <c r="Q36" s="5"/>
      <c r="R36" s="5"/>
      <c r="S36" s="5"/>
      <c r="T36" s="12" t="n">
        <v>-0.014</v>
      </c>
    </row>
    <row r="37">
      <c r="A37" s="4" t="s">
        <v>53</v>
      </c>
      <c r="B37" s="5"/>
      <c r="C37" s="5"/>
      <c r="D37" s="5"/>
      <c r="E37" s="5"/>
      <c r="F37" s="5"/>
      <c r="G37" s="5"/>
      <c r="H37" s="5"/>
      <c r="I37" s="5"/>
      <c r="J37" s="12" t="n">
        <v>0.172</v>
      </c>
      <c r="K37" s="5"/>
      <c r="L37" s="5"/>
      <c r="M37" s="5"/>
      <c r="N37" s="5"/>
      <c r="O37" s="12" t="n">
        <v>0.177</v>
      </c>
      <c r="P37" s="5"/>
      <c r="Q37" s="5"/>
      <c r="R37" s="5"/>
      <c r="S37" s="5"/>
      <c r="T37" s="12" t="n">
        <v>0.181</v>
      </c>
    </row>
    <row r="38">
      <c r="A38" s="14" t="s">
        <v>54</v>
      </c>
      <c r="B38" s="13" t="str">
        <f>SUM(E7:E34)</f>
      </c>
      <c r="C38" s="13"/>
      <c r="D38" s="13"/>
      <c r="E38" s="13"/>
      <c r="F38" s="13" t="str">
        <f>H5+SUM(J9:J34)</f>
      </c>
      <c r="G38" s="13"/>
      <c r="H38" s="13"/>
      <c r="I38" s="13"/>
      <c r="J38" s="13"/>
      <c r="K38" s="13" t="str">
        <f>M5+SUM(O9:O34)</f>
      </c>
      <c r="L38" s="13"/>
      <c r="M38" s="13"/>
      <c r="N38" s="13"/>
      <c r="O38" s="13"/>
      <c r="P38" s="13" t="str">
        <f>R5+SUM(T9:T34)</f>
      </c>
      <c r="Q38" s="13"/>
      <c r="R38" s="13"/>
      <c r="S38" s="13"/>
      <c r="T38" s="13"/>
    </row>
    <row r="39">
      <c r="A39" s="15" t="s">
        <v>55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</row>
  </sheetData>
  <sheetProtection formatCells="0" formatColumns="0" insertColumns="1" insertRows="1" deleteColumns="1" deleteRows="1" sheet="1"/>
  <mergeCells count="50">
    <mergeCell ref="A1:T1"/>
    <mergeCell ref="B2:E2"/>
    <mergeCell ref="F2:J2"/>
    <mergeCell ref="K2:O2"/>
    <mergeCell ref="P2:T2"/>
    <mergeCell ref="B3:E3"/>
    <mergeCell ref="F3:J3"/>
    <mergeCell ref="K3:O3"/>
    <mergeCell ref="P3:T3"/>
    <mergeCell ref="B4:C4"/>
    <mergeCell ref="I4:J4"/>
    <mergeCell ref="N4:O4"/>
    <mergeCell ref="S4:T4"/>
    <mergeCell ref="D5:E5"/>
    <mergeCell ref="H5:J5"/>
    <mergeCell ref="M5:O5"/>
    <mergeCell ref="R5:T5"/>
    <mergeCell ref="B6:C6"/>
    <mergeCell ref="F6:H6"/>
    <mergeCell ref="K6:M6"/>
    <mergeCell ref="P6:R6"/>
    <mergeCell ref="B12:D12"/>
    <mergeCell ref="F12:H12"/>
    <mergeCell ref="K12:M12"/>
    <mergeCell ref="P12:R12"/>
    <mergeCell ref="B13:D13"/>
    <mergeCell ref="F13:H13"/>
    <mergeCell ref="K13:M13"/>
    <mergeCell ref="P13:R13"/>
    <mergeCell ref="B14:D14"/>
    <mergeCell ref="F14:H14"/>
    <mergeCell ref="K14:M14"/>
    <mergeCell ref="P14:R14"/>
    <mergeCell ref="B15:D15"/>
    <mergeCell ref="F15:H15"/>
    <mergeCell ref="K15:M15"/>
    <mergeCell ref="P15:R15"/>
    <mergeCell ref="B16:D16"/>
    <mergeCell ref="F16:H16"/>
    <mergeCell ref="K16:M16"/>
    <mergeCell ref="P16:R16"/>
    <mergeCell ref="B22:C22"/>
    <mergeCell ref="F22:H22"/>
    <mergeCell ref="K22:M22"/>
    <mergeCell ref="P22:R22"/>
    <mergeCell ref="B38:E38"/>
    <mergeCell ref="F38:J38"/>
    <mergeCell ref="K38:O38"/>
    <mergeCell ref="P38:T38"/>
    <mergeCell ref="A39:T39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9.71" hidden="0" customWidth="1"/>
    <col min="2" max="2" width="11.71" hidden="0" customWidth="1"/>
    <col min="3" max="3" width="8.71" hidden="0" customWidth="1"/>
    <col min="4" max="4" width="4.71" hidden="0" customWidth="1"/>
    <col min="5" max="5" width="12.71" hidden="0" customWidth="1"/>
    <col min="6" max="6" width="11.71" hidden="0" customWidth="1"/>
    <col min="7" max="7" width="8.71" hidden="0" customWidth="1"/>
    <col min="8" max="8" width="7.71" hidden="0" customWidth="1"/>
    <col min="9" max="9" width="12.71" hidden="0" customWidth="1"/>
    <col min="10" max="10" width="11.71" hidden="0" customWidth="1"/>
    <col min="11" max="11" width="11.71" hidden="0" customWidth="1"/>
    <col min="12" max="12" width="8.71" hidden="0" customWidth="1"/>
    <col min="13" max="13" width="7.71" hidden="0" customWidth="1"/>
    <col min="14" max="14" width="12.71" hidden="0" customWidth="1"/>
    <col min="15" max="15" width="11.71" hidden="0" customWidth="1"/>
    <col min="16" max="16" width="11.71" hidden="0" customWidth="1"/>
    <col min="17" max="17" width="8.71" hidden="0" customWidth="1"/>
    <col min="18" max="18" width="7.71" hidden="0" customWidth="1"/>
    <col min="19" max="19" width="12.71" hidden="0" customWidth="1"/>
    <col min="20" max="20" width="11.71" hidden="0" customWidth="1"/>
  </cols>
  <sheetData>
    <row r="1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2"/>
      <c r="B2" s="2" t="s">
        <v>1</v>
      </c>
      <c r="C2" s="2"/>
      <c r="D2" s="2"/>
      <c r="E2" s="2"/>
      <c r="F2" s="2" t="s">
        <v>72</v>
      </c>
      <c r="G2" s="2"/>
      <c r="H2" s="2"/>
      <c r="I2" s="2"/>
      <c r="J2" s="2"/>
      <c r="K2" s="2" t="s">
        <v>73</v>
      </c>
      <c r="L2" s="2"/>
      <c r="M2" s="2"/>
      <c r="N2" s="2"/>
      <c r="O2" s="2"/>
      <c r="P2" s="2" t="s">
        <v>74</v>
      </c>
      <c r="Q2" s="2"/>
      <c r="R2" s="2"/>
      <c r="S2" s="2"/>
      <c r="T2" s="2"/>
    </row>
    <row r="3">
      <c r="A3" s="4" t="s">
        <v>5</v>
      </c>
      <c r="B3" s="3" t="s">
        <v>6</v>
      </c>
      <c r="C3" s="3"/>
      <c r="D3" s="3"/>
      <c r="E3" s="3"/>
      <c r="F3" s="3" t="s">
        <v>75</v>
      </c>
      <c r="G3" s="3"/>
      <c r="H3" s="3"/>
      <c r="I3" s="3"/>
      <c r="J3" s="3"/>
      <c r="K3" s="3" t="s">
        <v>76</v>
      </c>
      <c r="L3" s="3"/>
      <c r="M3" s="3"/>
      <c r="N3" s="3"/>
      <c r="O3" s="3"/>
      <c r="P3" s="3" t="s">
        <v>77</v>
      </c>
      <c r="Q3" s="3"/>
      <c r="R3" s="3"/>
      <c r="S3" s="3"/>
      <c r="T3" s="3"/>
    </row>
    <row r="4">
      <c r="A4" s="4" t="s">
        <v>10</v>
      </c>
      <c r="B4" s="5" t="s">
        <v>11</v>
      </c>
      <c r="C4" s="5"/>
      <c r="D4" s="5" t="n">
        <v>6</v>
      </c>
      <c r="E4" s="5" t="s">
        <v>12</v>
      </c>
      <c r="F4" s="5" t="s">
        <v>78</v>
      </c>
      <c r="G4" s="5" t="s">
        <v>79</v>
      </c>
      <c r="H4" s="5" t="n">
        <v>10</v>
      </c>
      <c r="I4" s="5" t="s">
        <v>80</v>
      </c>
      <c r="J4" s="5"/>
      <c r="K4" s="5" t="s">
        <v>81</v>
      </c>
      <c r="L4" s="5" t="s">
        <v>82</v>
      </c>
      <c r="M4" s="5" t="n">
        <v>29</v>
      </c>
      <c r="N4" s="5" t="s">
        <v>83</v>
      </c>
      <c r="O4" s="5"/>
      <c r="P4" s="5" t="s">
        <v>84</v>
      </c>
      <c r="Q4" s="5" t="s">
        <v>85</v>
      </c>
      <c r="R4" s="5" t="n">
        <v>8</v>
      </c>
      <c r="S4" s="5" t="s">
        <v>86</v>
      </c>
      <c r="T4" s="5"/>
    </row>
    <row r="5">
      <c r="A5" s="4" t="s">
        <v>22</v>
      </c>
      <c r="B5" s="5" t="s">
        <v>23</v>
      </c>
      <c r="C5" s="6" t="n">
        <v>0</v>
      </c>
      <c r="D5" s="5" t="s">
        <v>23</v>
      </c>
      <c r="E5" s="5"/>
      <c r="F5" s="6" t="n">
        <v>3565000</v>
      </c>
      <c r="G5" s="6" t="n">
        <v>0</v>
      </c>
      <c r="H5" s="6" t="str">
        <f>F5-G5</f>
      </c>
      <c r="I5" s="5"/>
      <c r="J5" s="5"/>
      <c r="K5" s="6" t="n">
        <v>2832000</v>
      </c>
      <c r="L5" s="6" t="n">
        <v>0</v>
      </c>
      <c r="M5" s="6" t="str">
        <f>K5-L5</f>
      </c>
      <c r="N5" s="5"/>
      <c r="O5" s="5"/>
      <c r="P5" s="6" t="n">
        <v>2607000</v>
      </c>
      <c r="Q5" s="6" t="n">
        <v>0</v>
      </c>
      <c r="R5" s="6" t="str">
        <f>P5-Q5</f>
      </c>
      <c r="S5" s="5"/>
      <c r="T5" s="5"/>
    </row>
    <row r="6">
      <c r="A6" s="4" t="s">
        <v>24</v>
      </c>
      <c r="B6" s="3" t="s">
        <v>25</v>
      </c>
      <c r="C6" s="3"/>
      <c r="D6" s="3"/>
      <c r="E6" s="3" t="s">
        <v>26</v>
      </c>
      <c r="F6" s="3" t="s">
        <v>25</v>
      </c>
      <c r="G6" s="3"/>
      <c r="H6" s="3"/>
      <c r="I6" s="3" t="s">
        <v>26</v>
      </c>
      <c r="J6" s="3" t="s">
        <v>27</v>
      </c>
      <c r="K6" s="3" t="s">
        <v>25</v>
      </c>
      <c r="L6" s="3"/>
      <c r="M6" s="3"/>
      <c r="N6" s="3" t="s">
        <v>26</v>
      </c>
      <c r="O6" s="3" t="s">
        <v>27</v>
      </c>
      <c r="P6" s="3" t="s">
        <v>25</v>
      </c>
      <c r="Q6" s="3"/>
      <c r="R6" s="3"/>
      <c r="S6" s="3" t="s">
        <v>26</v>
      </c>
      <c r="T6" s="3" t="s">
        <v>27</v>
      </c>
    </row>
    <row r="7">
      <c r="A7" s="4" t="s">
        <v>28</v>
      </c>
      <c r="B7" s="5"/>
      <c r="C7" s="5"/>
      <c r="D7" s="5"/>
      <c r="E7" s="6" t="n">
        <v>-4456942</v>
      </c>
      <c r="F7" s="5"/>
      <c r="G7" s="5"/>
      <c r="H7" s="5"/>
      <c r="I7" s="6" t="n">
        <v>-4456942</v>
      </c>
      <c r="J7" s="5"/>
      <c r="K7" s="5"/>
      <c r="L7" s="5"/>
      <c r="M7" s="5"/>
      <c r="N7" s="6" t="n">
        <v>-4456942</v>
      </c>
      <c r="O7" s="5"/>
      <c r="P7" s="5"/>
      <c r="Q7" s="5"/>
      <c r="R7" s="5"/>
      <c r="S7" s="6" t="n">
        <v>-4456942</v>
      </c>
      <c r="T7" s="5"/>
    </row>
    <row r="8">
      <c r="A8" s="4" t="s">
        <v>29</v>
      </c>
      <c r="B8" s="5"/>
      <c r="C8" s="5" t="n">
        <v>13</v>
      </c>
      <c r="D8" s="5" t="n">
        <v>6</v>
      </c>
      <c r="E8" s="5"/>
      <c r="F8" s="5"/>
      <c r="G8" s="5" t="n">
        <v>1413</v>
      </c>
      <c r="H8" s="5" t="n">
        <v>10</v>
      </c>
      <c r="I8" s="5"/>
      <c r="J8" s="5"/>
      <c r="K8" s="5"/>
      <c r="L8" s="5" t="n">
        <v>1623</v>
      </c>
      <c r="M8" s="5" t="n">
        <v>29</v>
      </c>
      <c r="N8" s="5"/>
      <c r="O8" s="5"/>
      <c r="P8" s="5"/>
      <c r="Q8" s="5" t="n">
        <v>116</v>
      </c>
      <c r="R8" s="5" t="n">
        <v>8</v>
      </c>
      <c r="S8" s="5"/>
      <c r="T8" s="5"/>
    </row>
    <row r="9">
      <c r="A9" s="4" t="s">
        <v>30</v>
      </c>
      <c r="B9" s="5" t="n">
        <v>-121.45</v>
      </c>
      <c r="C9" s="5" t="n">
        <v>37.72</v>
      </c>
      <c r="D9" s="5" t="n">
        <v>466</v>
      </c>
      <c r="E9" s="7" t="n">
        <v>7138065</v>
      </c>
      <c r="F9" s="5" t="n">
        <v>-121.459</v>
      </c>
      <c r="G9" s="5" t="n">
        <v>37.721</v>
      </c>
      <c r="H9" s="5" t="n">
        <v>466</v>
      </c>
      <c r="I9" s="7" t="n">
        <v>7233856</v>
      </c>
      <c r="J9" s="8" t="n">
        <v>-95791</v>
      </c>
      <c r="K9" s="5" t="n">
        <v>-121.449</v>
      </c>
      <c r="L9" s="5" t="n">
        <v>37.72</v>
      </c>
      <c r="M9" s="5" t="n">
        <v>466</v>
      </c>
      <c r="N9" s="7" t="n">
        <v>7108317</v>
      </c>
      <c r="O9" s="8" t="n">
        <v>29748</v>
      </c>
      <c r="P9" s="5" t="n">
        <v>-121.439</v>
      </c>
      <c r="Q9" s="5" t="n">
        <v>37.72</v>
      </c>
      <c r="R9" s="5" t="n">
        <v>465</v>
      </c>
      <c r="S9" s="7" t="n">
        <v>6888156</v>
      </c>
      <c r="T9" s="8" t="n">
        <v>249909</v>
      </c>
    </row>
    <row r="10">
      <c r="A10" s="4" t="s">
        <v>31</v>
      </c>
      <c r="B10" s="5" t="n">
        <v>5984</v>
      </c>
      <c r="C10" s="5"/>
      <c r="D10" s="5"/>
      <c r="E10" s="7" t="n">
        <v>42684</v>
      </c>
      <c r="F10" s="5" t="n">
        <v>5974</v>
      </c>
      <c r="G10" s="5"/>
      <c r="H10" s="5"/>
      <c r="I10" s="7" t="n">
        <v>42613</v>
      </c>
      <c r="J10" s="8" t="n">
        <v>71</v>
      </c>
      <c r="K10" s="5" t="n">
        <v>6005</v>
      </c>
      <c r="L10" s="5"/>
      <c r="M10" s="5"/>
      <c r="N10" s="7" t="n">
        <v>42834</v>
      </c>
      <c r="O10" s="8" t="n">
        <v>-150</v>
      </c>
      <c r="P10" s="5" t="n">
        <v>5218</v>
      </c>
      <c r="Q10" s="5"/>
      <c r="R10" s="5"/>
      <c r="S10" s="7" t="n">
        <v>37220</v>
      </c>
      <c r="T10" s="8" t="n">
        <v>5464</v>
      </c>
    </row>
    <row r="11">
      <c r="A11" s="4" t="s">
        <v>32</v>
      </c>
      <c r="B11" s="5" t="n">
        <v>78</v>
      </c>
      <c r="C11" s="5"/>
      <c r="D11" s="5"/>
      <c r="E11" s="7" t="n">
        <v>65436</v>
      </c>
      <c r="F11" s="5" t="n">
        <v>97</v>
      </c>
      <c r="G11" s="5"/>
      <c r="H11" s="5"/>
      <c r="I11" s="7" t="n">
        <v>91286</v>
      </c>
      <c r="J11" s="8" t="n">
        <v>-25850</v>
      </c>
      <c r="K11" s="5" t="n">
        <v>97</v>
      </c>
      <c r="L11" s="5"/>
      <c r="M11" s="5"/>
      <c r="N11" s="7" t="n">
        <v>91286</v>
      </c>
      <c r="O11" s="8" t="n">
        <v>-25850</v>
      </c>
      <c r="P11" s="5" t="n">
        <v>86</v>
      </c>
      <c r="Q11" s="5"/>
      <c r="R11" s="5"/>
      <c r="S11" s="7" t="n">
        <v>68202</v>
      </c>
      <c r="T11" s="8" t="n">
        <v>-2766</v>
      </c>
    </row>
    <row r="12">
      <c r="A12" s="4" t="s">
        <v>33</v>
      </c>
      <c r="B12" s="5" t="n">
        <v>13</v>
      </c>
      <c r="C12" s="5"/>
      <c r="D12" s="5"/>
      <c r="E12" s="6" t="n">
        <v>149278</v>
      </c>
      <c r="F12" s="5" t="n">
        <v>1413</v>
      </c>
      <c r="G12" s="5"/>
      <c r="H12" s="5"/>
      <c r="I12" s="6" t="n">
        <v>119269</v>
      </c>
      <c r="J12" s="6" t="n">
        <v>30008</v>
      </c>
      <c r="K12" s="5" t="n">
        <v>1623</v>
      </c>
      <c r="L12" s="5"/>
      <c r="M12" s="5"/>
      <c r="N12" s="6" t="n">
        <v>53828</v>
      </c>
      <c r="O12" s="6" t="n">
        <v>95449</v>
      </c>
      <c r="P12" s="5" t="n">
        <v>116</v>
      </c>
      <c r="Q12" s="5"/>
      <c r="R12" s="5"/>
      <c r="S12" s="6" t="n">
        <v>147993</v>
      </c>
      <c r="T12" s="6" t="n">
        <v>1285</v>
      </c>
    </row>
    <row r="13">
      <c r="A13" s="4" t="s">
        <v>34</v>
      </c>
      <c r="B13" s="5" t="n">
        <v>1764</v>
      </c>
      <c r="C13" s="5"/>
      <c r="D13" s="5"/>
      <c r="E13" s="6" t="n">
        <v>-200962</v>
      </c>
      <c r="F13" s="5" t="n">
        <v>2060</v>
      </c>
      <c r="G13" s="5"/>
      <c r="H13" s="5"/>
      <c r="I13" s="6" t="n">
        <v>23070</v>
      </c>
      <c r="J13" s="6" t="n">
        <v>-224032</v>
      </c>
      <c r="K13" s="5" t="n">
        <v>1854</v>
      </c>
      <c r="L13" s="5"/>
      <c r="M13" s="5"/>
      <c r="N13" s="6" t="n">
        <v>-130357</v>
      </c>
      <c r="O13" s="6" t="n">
        <v>-70605</v>
      </c>
      <c r="P13" s="5" t="n">
        <v>1618</v>
      </c>
      <c r="Q13" s="5"/>
      <c r="R13" s="5"/>
      <c r="S13" s="6" t="n">
        <v>-320029</v>
      </c>
      <c r="T13" s="6" t="n">
        <v>119067</v>
      </c>
    </row>
    <row r="14">
      <c r="A14" s="4" t="s">
        <v>35</v>
      </c>
      <c r="B14" s="5" t="n">
        <v>3</v>
      </c>
      <c r="C14" s="5"/>
      <c r="D14" s="5"/>
      <c r="E14" s="6" t="n">
        <v>65531</v>
      </c>
      <c r="F14" s="5" t="n">
        <v>3</v>
      </c>
      <c r="G14" s="5"/>
      <c r="H14" s="5"/>
      <c r="I14" s="6" t="n">
        <v>65531</v>
      </c>
      <c r="J14" s="6" t="n">
        <v>0</v>
      </c>
      <c r="K14" s="5" t="n">
        <v>3</v>
      </c>
      <c r="L14" s="5"/>
      <c r="M14" s="5"/>
      <c r="N14" s="6" t="n">
        <v>65531</v>
      </c>
      <c r="O14" s="6" t="n">
        <v>0</v>
      </c>
      <c r="P14" s="5" t="n">
        <v>3</v>
      </c>
      <c r="Q14" s="5"/>
      <c r="R14" s="5"/>
      <c r="S14" s="6" t="n">
        <v>65531</v>
      </c>
      <c r="T14" s="6" t="n">
        <v>0</v>
      </c>
    </row>
    <row r="15">
      <c r="A15" s="4" t="s">
        <v>36</v>
      </c>
      <c r="B15" s="5" t="n">
        <v>2</v>
      </c>
      <c r="C15" s="5"/>
      <c r="D15" s="5"/>
      <c r="E15" s="6" t="n">
        <v>-54226</v>
      </c>
      <c r="F15" s="5" t="n">
        <v>2</v>
      </c>
      <c r="G15" s="5"/>
      <c r="H15" s="5"/>
      <c r="I15" s="6" t="n">
        <v>-54226</v>
      </c>
      <c r="J15" s="6" t="n">
        <v>0</v>
      </c>
      <c r="K15" s="5" t="n">
        <v>2</v>
      </c>
      <c r="L15" s="5"/>
      <c r="M15" s="5"/>
      <c r="N15" s="6" t="n">
        <v>-54226</v>
      </c>
      <c r="O15" s="6" t="n">
        <v>0</v>
      </c>
      <c r="P15" s="5" t="n">
        <v>2</v>
      </c>
      <c r="Q15" s="5"/>
      <c r="R15" s="5"/>
      <c r="S15" s="6" t="n">
        <v>-54226</v>
      </c>
      <c r="T15" s="6" t="n">
        <v>0</v>
      </c>
    </row>
    <row r="16">
      <c r="A16" s="4" t="s">
        <v>37</v>
      </c>
      <c r="B16" s="5" t="n">
        <v>1</v>
      </c>
      <c r="C16" s="5"/>
      <c r="D16" s="5"/>
      <c r="E16" s="6" t="n">
        <v>4969</v>
      </c>
      <c r="F16" s="5" t="n">
        <v>1</v>
      </c>
      <c r="G16" s="5"/>
      <c r="H16" s="5"/>
      <c r="I16" s="6" t="n">
        <v>4969</v>
      </c>
      <c r="J16" s="6" t="n">
        <v>0</v>
      </c>
      <c r="K16" s="5" t="n">
        <v>1</v>
      </c>
      <c r="L16" s="5"/>
      <c r="M16" s="5"/>
      <c r="N16" s="6" t="n">
        <v>4969</v>
      </c>
      <c r="O16" s="6" t="n">
        <v>0</v>
      </c>
      <c r="P16" s="5" t="n">
        <v>2</v>
      </c>
      <c r="Q16" s="5"/>
      <c r="R16" s="5"/>
      <c r="S16" s="6" t="n">
        <v>14727</v>
      </c>
      <c r="T16" s="6" t="n">
        <v>-9758</v>
      </c>
    </row>
    <row r="17">
      <c r="A17" s="4" t="s">
        <v>38</v>
      </c>
      <c r="B17" s="5"/>
      <c r="C17" s="5"/>
      <c r="D17" s="5"/>
      <c r="E17" s="6" t="n">
        <v>-77316</v>
      </c>
      <c r="F17" s="5"/>
      <c r="G17" s="5"/>
      <c r="H17" s="5"/>
      <c r="I17" s="6" t="n">
        <v>42336</v>
      </c>
      <c r="J17" s="6" t="n">
        <v>-119652</v>
      </c>
      <c r="K17" s="5"/>
      <c r="L17" s="5"/>
      <c r="M17" s="5"/>
      <c r="N17" s="6" t="n">
        <v>3959</v>
      </c>
      <c r="O17" s="6" t="n">
        <v>-81275</v>
      </c>
      <c r="P17" s="5"/>
      <c r="Q17" s="5"/>
      <c r="R17" s="5"/>
      <c r="S17" s="6" t="n">
        <v>-82305</v>
      </c>
      <c r="T17" s="6" t="n">
        <v>4989</v>
      </c>
    </row>
    <row r="18">
      <c r="A18" s="4" t="s">
        <v>39</v>
      </c>
      <c r="B18" s="5"/>
      <c r="C18" s="5"/>
      <c r="D18" s="5"/>
      <c r="E18" s="6" t="n">
        <v>-156</v>
      </c>
      <c r="F18" s="5"/>
      <c r="G18" s="5"/>
      <c r="H18" s="5"/>
      <c r="I18" s="6" t="n">
        <v>15</v>
      </c>
      <c r="J18" s="6" t="n">
        <v>-171</v>
      </c>
      <c r="K18" s="5"/>
      <c r="L18" s="5"/>
      <c r="M18" s="5"/>
      <c r="N18" s="6" t="n">
        <v>-103</v>
      </c>
      <c r="O18" s="6" t="n">
        <v>-53</v>
      </c>
      <c r="P18" s="5"/>
      <c r="Q18" s="5"/>
      <c r="R18" s="5"/>
      <c r="S18" s="6" t="n">
        <v>-243</v>
      </c>
      <c r="T18" s="6" t="n">
        <v>87</v>
      </c>
    </row>
    <row r="19">
      <c r="A19" s="4" t="s">
        <v>40</v>
      </c>
      <c r="B19" s="5"/>
      <c r="C19" s="5"/>
      <c r="D19" s="5"/>
      <c r="E19" s="6" t="n">
        <v>23961</v>
      </c>
      <c r="F19" s="5"/>
      <c r="G19" s="5"/>
      <c r="H19" s="5"/>
      <c r="I19" s="6" t="n">
        <v>2907</v>
      </c>
      <c r="J19" s="6" t="n">
        <v>21054</v>
      </c>
      <c r="K19" s="5"/>
      <c r="L19" s="5"/>
      <c r="M19" s="5"/>
      <c r="N19" s="6" t="n">
        <v>17560</v>
      </c>
      <c r="O19" s="6" t="n">
        <v>6401</v>
      </c>
      <c r="P19" s="5"/>
      <c r="Q19" s="5"/>
      <c r="R19" s="5"/>
      <c r="S19" s="6" t="n">
        <v>34344</v>
      </c>
      <c r="T19" s="6" t="n">
        <v>-10383</v>
      </c>
    </row>
    <row r="20">
      <c r="A20" s="4" t="s">
        <v>41</v>
      </c>
      <c r="B20" s="5"/>
      <c r="C20" s="5"/>
      <c r="D20" s="5"/>
      <c r="E20" s="6" t="n">
        <v>-123720</v>
      </c>
      <c r="F20" s="5"/>
      <c r="G20" s="5"/>
      <c r="H20" s="5"/>
      <c r="I20" s="6" t="n">
        <v>-32027</v>
      </c>
      <c r="J20" s="6" t="n">
        <v>-91693</v>
      </c>
      <c r="K20" s="5"/>
      <c r="L20" s="5"/>
      <c r="M20" s="5"/>
      <c r="N20" s="6" t="n">
        <v>-127811</v>
      </c>
      <c r="O20" s="6" t="n">
        <v>4091</v>
      </c>
      <c r="P20" s="5"/>
      <c r="Q20" s="5"/>
      <c r="R20" s="5"/>
      <c r="S20" s="6" t="n">
        <v>-95432</v>
      </c>
      <c r="T20" s="6" t="n">
        <v>-28288</v>
      </c>
    </row>
    <row r="21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>
      <c r="A22" s="4" t="s">
        <v>42</v>
      </c>
      <c r="B22" s="3" t="s">
        <v>43</v>
      </c>
      <c r="C22" s="3"/>
      <c r="D22" s="3"/>
      <c r="E22" s="3" t="s">
        <v>26</v>
      </c>
      <c r="F22" s="3" t="s">
        <v>44</v>
      </c>
      <c r="G22" s="3"/>
      <c r="H22" s="3"/>
      <c r="I22" s="3" t="s">
        <v>26</v>
      </c>
      <c r="J22" s="3" t="s">
        <v>27</v>
      </c>
      <c r="K22" s="3" t="s">
        <v>44</v>
      </c>
      <c r="L22" s="3"/>
      <c r="M22" s="3"/>
      <c r="N22" s="3" t="s">
        <v>26</v>
      </c>
      <c r="O22" s="3" t="s">
        <v>27</v>
      </c>
      <c r="P22" s="3" t="s">
        <v>44</v>
      </c>
      <c r="Q22" s="3"/>
      <c r="R22" s="3"/>
      <c r="S22" s="3" t="s">
        <v>26</v>
      </c>
      <c r="T22" s="3" t="s">
        <v>27</v>
      </c>
    </row>
    <row r="23">
      <c r="A23" s="4" t="s">
        <v>45</v>
      </c>
      <c r="B23" s="9" t="n">
        <v>9.1</v>
      </c>
      <c r="C23" s="2"/>
      <c r="D23" s="2"/>
      <c r="E23" s="11" t="str">
        <f>435038-SUM(E24:E34)</f>
      </c>
      <c r="F23" s="9" t="n">
        <v>9.01</v>
      </c>
      <c r="G23" s="5"/>
      <c r="H23" s="5"/>
      <c r="I23" s="10" t="str">
        <f>482342-SUM(I24:I34)</f>
      </c>
      <c r="J23" s="10" t="str">
        <f>E23-I23</f>
      </c>
      <c r="K23" s="9" t="n">
        <v>7.38</v>
      </c>
      <c r="L23" s="5"/>
      <c r="M23" s="5"/>
      <c r="N23" s="10" t="str">
        <f>213153-SUM(N24:N34)</f>
      </c>
      <c r="O23" s="10" t="str">
        <f>E23-N23</f>
      </c>
      <c r="P23" s="9" t="n">
        <v>8.43</v>
      </c>
      <c r="Q23" s="5"/>
      <c r="R23" s="5"/>
      <c r="S23" s="10" t="str">
        <f>360002-SUM(S24:S34)</f>
      </c>
      <c r="T23" s="10" t="str">
        <f>E23-S23</f>
      </c>
    </row>
    <row r="24">
      <c r="A24" s="4" t="s">
        <v>46</v>
      </c>
      <c r="B24" s="5"/>
      <c r="C24" s="5"/>
      <c r="D24" s="5"/>
      <c r="E24" s="16" t="n">
        <v>0</v>
      </c>
      <c r="F24" s="5"/>
      <c r="G24" s="5"/>
      <c r="H24" s="5"/>
      <c r="I24" s="16" t="n">
        <v>0</v>
      </c>
      <c r="J24" s="8" t="str">
        <f>E24-I24</f>
      </c>
      <c r="K24" s="5"/>
      <c r="L24" s="5"/>
      <c r="M24" s="5"/>
      <c r="N24" s="16" t="n">
        <v>0</v>
      </c>
      <c r="O24" s="8" t="str">
        <f>E24-N24</f>
      </c>
      <c r="P24" s="5"/>
      <c r="Q24" s="5"/>
      <c r="R24" s="5"/>
      <c r="S24" s="16" t="n">
        <v>0</v>
      </c>
      <c r="T24" s="8" t="str">
        <f>E24-S24</f>
      </c>
    </row>
    <row r="25">
      <c r="A25" s="4" t="s">
        <v>47</v>
      </c>
      <c r="B25" s="5"/>
      <c r="C25" s="5"/>
      <c r="D25" s="5"/>
      <c r="E25" s="16" t="n">
        <v>0</v>
      </c>
      <c r="F25" s="5"/>
      <c r="G25" s="5"/>
      <c r="H25" s="5"/>
      <c r="I25" s="16" t="n">
        <v>0</v>
      </c>
      <c r="J25" s="8" t="str">
        <f>E25-I25</f>
      </c>
      <c r="K25" s="5"/>
      <c r="L25" s="5"/>
      <c r="M25" s="5"/>
      <c r="N25" s="16" t="n">
        <v>0</v>
      </c>
      <c r="O25" s="8" t="str">
        <f>E25-N25</f>
      </c>
      <c r="P25" s="5"/>
      <c r="Q25" s="5"/>
      <c r="R25" s="5"/>
      <c r="S25" s="16" t="n">
        <v>0</v>
      </c>
      <c r="T25" s="8" t="str">
        <f>E25-S25</f>
      </c>
    </row>
    <row r="26">
      <c r="A26" s="4" t="s">
        <v>48</v>
      </c>
      <c r="B26" s="5"/>
      <c r="C26" s="5"/>
      <c r="D26" s="5"/>
      <c r="E26" s="16" t="n">
        <v>0</v>
      </c>
      <c r="F26" s="5"/>
      <c r="G26" s="5"/>
      <c r="H26" s="5"/>
      <c r="I26" s="16" t="n">
        <v>0</v>
      </c>
      <c r="J26" s="8" t="str">
        <f>E26-I26</f>
      </c>
      <c r="K26" s="5"/>
      <c r="L26" s="5"/>
      <c r="M26" s="5"/>
      <c r="N26" s="16" t="n">
        <v>0</v>
      </c>
      <c r="O26" s="8" t="str">
        <f>E26-N26</f>
      </c>
      <c r="P26" s="5"/>
      <c r="Q26" s="5"/>
      <c r="R26" s="5"/>
      <c r="S26" s="16" t="n">
        <v>0</v>
      </c>
      <c r="T26" s="8" t="str">
        <f>E26-S26</f>
      </c>
    </row>
    <row r="27">
      <c r="A27" s="4" t="s">
        <v>49</v>
      </c>
      <c r="B27" s="5"/>
      <c r="C27" s="5"/>
      <c r="D27" s="5"/>
      <c r="E27" s="16" t="n">
        <v>0</v>
      </c>
      <c r="F27" s="5"/>
      <c r="G27" s="5"/>
      <c r="H27" s="5"/>
      <c r="I27" s="16" t="n">
        <v>0</v>
      </c>
      <c r="J27" s="8" t="str">
        <f>E27-I27</f>
      </c>
      <c r="K27" s="5"/>
      <c r="L27" s="5"/>
      <c r="M27" s="5"/>
      <c r="N27" s="16" t="n">
        <v>0</v>
      </c>
      <c r="O27" s="8" t="str">
        <f>E27-N27</f>
      </c>
      <c r="P27" s="5"/>
      <c r="Q27" s="5"/>
      <c r="R27" s="5"/>
      <c r="S27" s="16" t="n">
        <v>0</v>
      </c>
      <c r="T27" s="8" t="str">
        <f>E27-S27</f>
      </c>
    </row>
    <row r="28">
      <c r="A28" s="4" t="s">
        <v>50</v>
      </c>
      <c r="B28" s="5"/>
      <c r="C28" s="5"/>
      <c r="D28" s="5"/>
      <c r="E28" s="16" t="n">
        <v>0</v>
      </c>
      <c r="F28" s="5"/>
      <c r="G28" s="5"/>
      <c r="H28" s="5"/>
      <c r="I28" s="16" t="n">
        <v>0</v>
      </c>
      <c r="J28" s="8" t="str">
        <f>E28-I28</f>
      </c>
      <c r="K28" s="5"/>
      <c r="L28" s="5"/>
      <c r="M28" s="5"/>
      <c r="N28" s="16" t="n">
        <v>0</v>
      </c>
      <c r="O28" s="8" t="str">
        <f>E28-N28</f>
      </c>
      <c r="P28" s="5"/>
      <c r="Q28" s="5"/>
      <c r="R28" s="5"/>
      <c r="S28" s="16" t="n">
        <v>0</v>
      </c>
      <c r="T28" s="8" t="str">
        <f>E28-S28</f>
      </c>
    </row>
    <row r="29">
      <c r="A29" s="4"/>
      <c r="B29" s="5"/>
      <c r="C29" s="5"/>
      <c r="D29" s="5"/>
      <c r="E29" s="16" t="n">
        <v>0</v>
      </c>
      <c r="F29" s="5"/>
      <c r="G29" s="5"/>
      <c r="H29" s="5"/>
      <c r="I29" s="16" t="n">
        <v>0</v>
      </c>
      <c r="J29" s="8" t="str">
        <f>E29-I29</f>
      </c>
      <c r="K29" s="5"/>
      <c r="L29" s="5"/>
      <c r="M29" s="5"/>
      <c r="N29" s="16" t="n">
        <v>0</v>
      </c>
      <c r="O29" s="8" t="str">
        <f>E29-N29</f>
      </c>
      <c r="P29" s="5"/>
      <c r="Q29" s="5"/>
      <c r="R29" s="5"/>
      <c r="S29" s="16" t="n">
        <v>0</v>
      </c>
      <c r="T29" s="8" t="str">
        <f>E29-S29</f>
      </c>
    </row>
    <row r="30">
      <c r="A30" s="4"/>
      <c r="B30" s="5"/>
      <c r="C30" s="5"/>
      <c r="D30" s="5"/>
      <c r="E30" s="16" t="n">
        <v>0</v>
      </c>
      <c r="F30" s="5"/>
      <c r="G30" s="5"/>
      <c r="H30" s="5"/>
      <c r="I30" s="16" t="n">
        <v>0</v>
      </c>
      <c r="J30" s="8" t="str">
        <f>E30-I30</f>
      </c>
      <c r="K30" s="5"/>
      <c r="L30" s="5"/>
      <c r="M30" s="5"/>
      <c r="N30" s="16" t="n">
        <v>0</v>
      </c>
      <c r="O30" s="8" t="str">
        <f>E30-N30</f>
      </c>
      <c r="P30" s="5"/>
      <c r="Q30" s="5"/>
      <c r="R30" s="5"/>
      <c r="S30" s="16" t="n">
        <v>0</v>
      </c>
      <c r="T30" s="8" t="str">
        <f>E30-S30</f>
      </c>
    </row>
    <row r="31">
      <c r="A31" s="4"/>
      <c r="B31" s="5"/>
      <c r="C31" s="5"/>
      <c r="D31" s="5"/>
      <c r="E31" s="16" t="n">
        <v>0</v>
      </c>
      <c r="F31" s="5"/>
      <c r="G31" s="5"/>
      <c r="H31" s="5"/>
      <c r="I31" s="16" t="n">
        <v>0</v>
      </c>
      <c r="J31" s="8" t="str">
        <f>E31-I31</f>
      </c>
      <c r="K31" s="5"/>
      <c r="L31" s="5"/>
      <c r="M31" s="5"/>
      <c r="N31" s="16" t="n">
        <v>0</v>
      </c>
      <c r="O31" s="8" t="str">
        <f>E31-N31</f>
      </c>
      <c r="P31" s="5"/>
      <c r="Q31" s="5"/>
      <c r="R31" s="5"/>
      <c r="S31" s="16" t="n">
        <v>0</v>
      </c>
      <c r="T31" s="8" t="str">
        <f>E31-S31</f>
      </c>
    </row>
    <row r="32">
      <c r="A32" s="4"/>
      <c r="B32" s="5"/>
      <c r="C32" s="5"/>
      <c r="D32" s="5"/>
      <c r="E32" s="16" t="n">
        <v>0</v>
      </c>
      <c r="F32" s="5"/>
      <c r="G32" s="5"/>
      <c r="H32" s="5"/>
      <c r="I32" s="16" t="n">
        <v>0</v>
      </c>
      <c r="J32" s="8" t="str">
        <f>E32-I32</f>
      </c>
      <c r="K32" s="5"/>
      <c r="L32" s="5"/>
      <c r="M32" s="5"/>
      <c r="N32" s="16" t="n">
        <v>0</v>
      </c>
      <c r="O32" s="8" t="str">
        <f>E32-N32</f>
      </c>
      <c r="P32" s="5"/>
      <c r="Q32" s="5"/>
      <c r="R32" s="5"/>
      <c r="S32" s="16" t="n">
        <v>0</v>
      </c>
      <c r="T32" s="8" t="str">
        <f>E32-S32</f>
      </c>
    </row>
    <row r="33">
      <c r="A33" s="4"/>
      <c r="B33" s="5"/>
      <c r="C33" s="5"/>
      <c r="D33" s="5"/>
      <c r="E33" s="16" t="n">
        <v>0</v>
      </c>
      <c r="F33" s="5"/>
      <c r="G33" s="5"/>
      <c r="H33" s="5"/>
      <c r="I33" s="16" t="n">
        <v>0</v>
      </c>
      <c r="J33" s="8" t="str">
        <f>E33-I33</f>
      </c>
      <c r="K33" s="5"/>
      <c r="L33" s="5"/>
      <c r="M33" s="5"/>
      <c r="N33" s="16" t="n">
        <v>0</v>
      </c>
      <c r="O33" s="8" t="str">
        <f>E33-N33</f>
      </c>
      <c r="P33" s="5"/>
      <c r="Q33" s="5"/>
      <c r="R33" s="5"/>
      <c r="S33" s="16" t="n">
        <v>0</v>
      </c>
      <c r="T33" s="8" t="str">
        <f>E33-S33</f>
      </c>
    </row>
    <row r="34">
      <c r="A34" s="4"/>
      <c r="B34" s="5"/>
      <c r="C34" s="5"/>
      <c r="D34" s="5"/>
      <c r="E34" s="16" t="n">
        <v>0</v>
      </c>
      <c r="F34" s="5"/>
      <c r="G34" s="5"/>
      <c r="H34" s="5"/>
      <c r="I34" s="16" t="n">
        <v>0</v>
      </c>
      <c r="J34" s="8" t="str">
        <f>E34-I34</f>
      </c>
      <c r="K34" s="5"/>
      <c r="L34" s="5"/>
      <c r="M34" s="5"/>
      <c r="N34" s="16" t="n">
        <v>0</v>
      </c>
      <c r="O34" s="8" t="str">
        <f>E34-N34</f>
      </c>
      <c r="P34" s="5"/>
      <c r="Q34" s="5"/>
      <c r="R34" s="5"/>
      <c r="S34" s="16" t="n">
        <v>0</v>
      </c>
      <c r="T34" s="8" t="str">
        <f>E34-S34</f>
      </c>
    </row>
    <row r="35">
      <c r="A35" s="4" t="s">
        <v>51</v>
      </c>
      <c r="B35" s="5"/>
      <c r="C35" s="5"/>
      <c r="D35" s="5"/>
      <c r="E35" s="6" t="n">
        <v>2576602</v>
      </c>
      <c r="F35" s="5"/>
      <c r="G35" s="5"/>
      <c r="H35" s="5"/>
      <c r="I35" s="5"/>
      <c r="J35" s="6" t="n">
        <v>-553358</v>
      </c>
      <c r="K35" s="5"/>
      <c r="L35" s="5"/>
      <c r="M35" s="5"/>
      <c r="N35" s="5"/>
      <c r="O35" s="6" t="n">
        <v>179642</v>
      </c>
      <c r="P35" s="5"/>
      <c r="Q35" s="5"/>
      <c r="R35" s="5"/>
      <c r="S35" s="5"/>
      <c r="T35" s="6" t="n">
        <v>404642</v>
      </c>
    </row>
    <row r="36">
      <c r="A36" s="4" t="s">
        <v>52</v>
      </c>
      <c r="B36" s="5"/>
      <c r="C36" s="5"/>
      <c r="D36" s="5"/>
      <c r="E36" s="5"/>
      <c r="F36" s="5"/>
      <c r="G36" s="5"/>
      <c r="H36" s="5"/>
      <c r="I36" s="5"/>
      <c r="J36" s="12" t="n">
        <v>-0.155</v>
      </c>
      <c r="K36" s="5"/>
      <c r="L36" s="5"/>
      <c r="M36" s="5"/>
      <c r="N36" s="5"/>
      <c r="O36" s="12" t="n">
        <v>0.063</v>
      </c>
      <c r="P36" s="5"/>
      <c r="Q36" s="5"/>
      <c r="R36" s="5"/>
      <c r="S36" s="5"/>
      <c r="T36" s="12" t="n">
        <v>0.155</v>
      </c>
    </row>
    <row r="37">
      <c r="A37" s="4" t="s">
        <v>53</v>
      </c>
      <c r="B37" s="5"/>
      <c r="C37" s="5"/>
      <c r="D37" s="5"/>
      <c r="E37" s="5"/>
      <c r="F37" s="5"/>
      <c r="G37" s="5"/>
      <c r="H37" s="5"/>
      <c r="I37" s="5"/>
      <c r="J37" s="12" t="n">
        <v>0.185</v>
      </c>
      <c r="K37" s="5"/>
      <c r="L37" s="5"/>
      <c r="M37" s="5"/>
      <c r="N37" s="5"/>
      <c r="O37" s="12" t="n">
        <v>0.189</v>
      </c>
      <c r="P37" s="5"/>
      <c r="Q37" s="5"/>
      <c r="R37" s="5"/>
      <c r="S37" s="5"/>
      <c r="T37" s="12" t="n">
        <v>0.194</v>
      </c>
    </row>
    <row r="38">
      <c r="A38" s="14" t="s">
        <v>54</v>
      </c>
      <c r="B38" s="13" t="str">
        <f>SUM(E7:E34)</f>
      </c>
      <c r="C38" s="13"/>
      <c r="D38" s="13"/>
      <c r="E38" s="13"/>
      <c r="F38" s="13" t="str">
        <f>H5+SUM(J9:J34)</f>
      </c>
      <c r="G38" s="13"/>
      <c r="H38" s="13"/>
      <c r="I38" s="13"/>
      <c r="J38" s="13"/>
      <c r="K38" s="13" t="str">
        <f>M5+SUM(O9:O34)</f>
      </c>
      <c r="L38" s="13"/>
      <c r="M38" s="13"/>
      <c r="N38" s="13"/>
      <c r="O38" s="13"/>
      <c r="P38" s="13" t="str">
        <f>R5+SUM(T9:T34)</f>
      </c>
      <c r="Q38" s="13"/>
      <c r="R38" s="13"/>
      <c r="S38" s="13"/>
      <c r="T38" s="13"/>
    </row>
    <row r="39">
      <c r="A39" s="15" t="s">
        <v>55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</row>
  </sheetData>
  <sheetProtection formatCells="0" formatColumns="0" insertColumns="1" insertRows="1" deleteColumns="1" deleteRows="1" sheet="1"/>
  <mergeCells count="50">
    <mergeCell ref="A1:T1"/>
    <mergeCell ref="B2:E2"/>
    <mergeCell ref="F2:J2"/>
    <mergeCell ref="K2:O2"/>
    <mergeCell ref="P2:T2"/>
    <mergeCell ref="B3:E3"/>
    <mergeCell ref="F3:J3"/>
    <mergeCell ref="K3:O3"/>
    <mergeCell ref="P3:T3"/>
    <mergeCell ref="B4:C4"/>
    <mergeCell ref="I4:J4"/>
    <mergeCell ref="N4:O4"/>
    <mergeCell ref="S4:T4"/>
    <mergeCell ref="D5:E5"/>
    <mergeCell ref="H5:J5"/>
    <mergeCell ref="M5:O5"/>
    <mergeCell ref="R5:T5"/>
    <mergeCell ref="B6:C6"/>
    <mergeCell ref="F6:H6"/>
    <mergeCell ref="K6:M6"/>
    <mergeCell ref="P6:R6"/>
    <mergeCell ref="B12:D12"/>
    <mergeCell ref="F12:H12"/>
    <mergeCell ref="K12:M12"/>
    <mergeCell ref="P12:R12"/>
    <mergeCell ref="B13:D13"/>
    <mergeCell ref="F13:H13"/>
    <mergeCell ref="K13:M13"/>
    <mergeCell ref="P13:R13"/>
    <mergeCell ref="B14:D14"/>
    <mergeCell ref="F14:H14"/>
    <mergeCell ref="K14:M14"/>
    <mergeCell ref="P14:R14"/>
    <mergeCell ref="B15:D15"/>
    <mergeCell ref="F15:H15"/>
    <mergeCell ref="K15:M15"/>
    <mergeCell ref="P15:R15"/>
    <mergeCell ref="B16:D16"/>
    <mergeCell ref="F16:H16"/>
    <mergeCell ref="K16:M16"/>
    <mergeCell ref="P16:R16"/>
    <mergeCell ref="B22:C22"/>
    <mergeCell ref="F22:H22"/>
    <mergeCell ref="K22:M22"/>
    <mergeCell ref="P22:R22"/>
    <mergeCell ref="B38:E38"/>
    <mergeCell ref="F38:J38"/>
    <mergeCell ref="K38:O38"/>
    <mergeCell ref="P38:T38"/>
    <mergeCell ref="A39:T39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9.71" hidden="0" customWidth="1"/>
    <col min="2" max="2" width="11.71" hidden="0" customWidth="1"/>
    <col min="3" max="3" width="8.71" hidden="0" customWidth="1"/>
    <col min="4" max="4" width="4.71" hidden="0" customWidth="1"/>
    <col min="5" max="5" width="12.71" hidden="0" customWidth="1"/>
    <col min="6" max="6" width="11.71" hidden="0" customWidth="1"/>
    <col min="7" max="7" width="8.71" hidden="0" customWidth="1"/>
    <col min="8" max="8" width="7.71" hidden="0" customWidth="1"/>
    <col min="9" max="9" width="12.71" hidden="0" customWidth="1"/>
    <col min="10" max="10" width="11.71" hidden="0" customWidth="1"/>
    <col min="11" max="11" width="11.71" hidden="0" customWidth="1"/>
    <col min="12" max="12" width="8.71" hidden="0" customWidth="1"/>
    <col min="13" max="13" width="7.71" hidden="0" customWidth="1"/>
    <col min="14" max="14" width="12.71" hidden="0" customWidth="1"/>
    <col min="15" max="15" width="11.71" hidden="0" customWidth="1"/>
    <col min="16" max="16" width="11.71" hidden="0" customWidth="1"/>
    <col min="17" max="17" width="8.71" hidden="0" customWidth="1"/>
    <col min="18" max="18" width="7.71" hidden="0" customWidth="1"/>
    <col min="19" max="19" width="12.71" hidden="0" customWidth="1"/>
    <col min="20" max="20" width="11.71" hidden="0" customWidth="1"/>
  </cols>
  <sheetData>
    <row r="1">
      <c r="A1" s="1" t="s">
        <v>87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2"/>
      <c r="B2" s="2" t="s">
        <v>1</v>
      </c>
      <c r="C2" s="2"/>
      <c r="D2" s="2"/>
      <c r="E2" s="2"/>
      <c r="F2" s="2" t="s">
        <v>88</v>
      </c>
      <c r="G2" s="2"/>
      <c r="H2" s="2"/>
      <c r="I2" s="2"/>
      <c r="J2" s="2"/>
      <c r="K2" s="2" t="s">
        <v>89</v>
      </c>
      <c r="L2" s="2"/>
      <c r="M2" s="2"/>
      <c r="N2" s="2"/>
      <c r="O2" s="2"/>
      <c r="P2" s="2" t="s">
        <v>90</v>
      </c>
      <c r="Q2" s="2"/>
      <c r="R2" s="2"/>
      <c r="S2" s="2"/>
      <c r="T2" s="2"/>
    </row>
    <row r="3">
      <c r="A3" s="4" t="s">
        <v>5</v>
      </c>
      <c r="B3" s="3" t="s">
        <v>6</v>
      </c>
      <c r="C3" s="3"/>
      <c r="D3" s="3"/>
      <c r="E3" s="3"/>
      <c r="F3" s="3" t="s">
        <v>91</v>
      </c>
      <c r="G3" s="3"/>
      <c r="H3" s="3"/>
      <c r="I3" s="3"/>
      <c r="J3" s="3"/>
      <c r="K3" s="3" t="s">
        <v>92</v>
      </c>
      <c r="L3" s="3"/>
      <c r="M3" s="3"/>
      <c r="N3" s="3"/>
      <c r="O3" s="3"/>
      <c r="P3" s="3" t="s">
        <v>93</v>
      </c>
      <c r="Q3" s="3"/>
      <c r="R3" s="3"/>
      <c r="S3" s="3"/>
      <c r="T3" s="3"/>
    </row>
    <row r="4">
      <c r="A4" s="4" t="s">
        <v>10</v>
      </c>
      <c r="B4" s="5" t="s">
        <v>11</v>
      </c>
      <c r="C4" s="5"/>
      <c r="D4" s="5" t="n">
        <v>6</v>
      </c>
      <c r="E4" s="5" t="s">
        <v>12</v>
      </c>
      <c r="F4" s="5" t="s">
        <v>94</v>
      </c>
      <c r="G4" s="5" t="s">
        <v>95</v>
      </c>
      <c r="H4" s="5" t="n">
        <v>24</v>
      </c>
      <c r="I4" s="5" t="s">
        <v>96</v>
      </c>
      <c r="J4" s="5"/>
      <c r="K4" s="5" t="s">
        <v>97</v>
      </c>
      <c r="L4" s="5" t="s">
        <v>98</v>
      </c>
      <c r="M4" s="5" t="n">
        <v>5</v>
      </c>
      <c r="N4" s="5" t="s">
        <v>99</v>
      </c>
      <c r="O4" s="5"/>
      <c r="P4" s="5" t="s">
        <v>100</v>
      </c>
      <c r="Q4" s="5" t="s">
        <v>101</v>
      </c>
      <c r="R4" s="5" t="n">
        <v>17</v>
      </c>
      <c r="S4" s="5" t="s">
        <v>102</v>
      </c>
      <c r="T4" s="5"/>
    </row>
    <row r="5">
      <c r="A5" s="4" t="s">
        <v>22</v>
      </c>
      <c r="B5" s="5" t="s">
        <v>23</v>
      </c>
      <c r="C5" s="6" t="n">
        <v>0</v>
      </c>
      <c r="D5" s="5" t="s">
        <v>23</v>
      </c>
      <c r="E5" s="5"/>
      <c r="F5" s="6" t="n">
        <v>3326000</v>
      </c>
      <c r="G5" s="6" t="n">
        <v>0</v>
      </c>
      <c r="H5" s="6" t="str">
        <f>F5-G5</f>
      </c>
      <c r="I5" s="5"/>
      <c r="J5" s="5"/>
      <c r="K5" s="6" t="n">
        <v>2911000</v>
      </c>
      <c r="L5" s="6" t="n">
        <v>0</v>
      </c>
      <c r="M5" s="6" t="str">
        <f>K5-L5</f>
      </c>
      <c r="N5" s="5"/>
      <c r="O5" s="5"/>
      <c r="P5" s="6" t="n">
        <v>2927000</v>
      </c>
      <c r="Q5" s="6" t="n">
        <v>0</v>
      </c>
      <c r="R5" s="6" t="str">
        <f>P5-Q5</f>
      </c>
      <c r="S5" s="5"/>
      <c r="T5" s="5"/>
    </row>
    <row r="6">
      <c r="A6" s="4" t="s">
        <v>24</v>
      </c>
      <c r="B6" s="3" t="s">
        <v>25</v>
      </c>
      <c r="C6" s="3"/>
      <c r="D6" s="3"/>
      <c r="E6" s="3" t="s">
        <v>26</v>
      </c>
      <c r="F6" s="3" t="s">
        <v>25</v>
      </c>
      <c r="G6" s="3"/>
      <c r="H6" s="3"/>
      <c r="I6" s="3" t="s">
        <v>26</v>
      </c>
      <c r="J6" s="3" t="s">
        <v>27</v>
      </c>
      <c r="K6" s="3" t="s">
        <v>25</v>
      </c>
      <c r="L6" s="3"/>
      <c r="M6" s="3"/>
      <c r="N6" s="3" t="s">
        <v>26</v>
      </c>
      <c r="O6" s="3" t="s">
        <v>27</v>
      </c>
      <c r="P6" s="3" t="s">
        <v>25</v>
      </c>
      <c r="Q6" s="3"/>
      <c r="R6" s="3"/>
      <c r="S6" s="3" t="s">
        <v>26</v>
      </c>
      <c r="T6" s="3" t="s">
        <v>27</v>
      </c>
    </row>
    <row r="7">
      <c r="A7" s="4" t="s">
        <v>28</v>
      </c>
      <c r="B7" s="5"/>
      <c r="C7" s="5"/>
      <c r="D7" s="5"/>
      <c r="E7" s="6" t="n">
        <v>-4456942</v>
      </c>
      <c r="F7" s="5"/>
      <c r="G7" s="5"/>
      <c r="H7" s="5"/>
      <c r="I7" s="6" t="n">
        <v>-4456942</v>
      </c>
      <c r="J7" s="5"/>
      <c r="K7" s="5"/>
      <c r="L7" s="5"/>
      <c r="M7" s="5"/>
      <c r="N7" s="6" t="n">
        <v>-4456942</v>
      </c>
      <c r="O7" s="5"/>
      <c r="P7" s="5"/>
      <c r="Q7" s="5"/>
      <c r="R7" s="5"/>
      <c r="S7" s="6" t="n">
        <v>-4456942</v>
      </c>
      <c r="T7" s="5"/>
    </row>
    <row r="8">
      <c r="A8" s="4" t="s">
        <v>29</v>
      </c>
      <c r="B8" s="5"/>
      <c r="C8" s="5" t="n">
        <v>13</v>
      </c>
      <c r="D8" s="5" t="n">
        <v>6</v>
      </c>
      <c r="E8" s="5"/>
      <c r="F8" s="5"/>
      <c r="G8" s="5" t="n">
        <v>1392</v>
      </c>
      <c r="H8" s="5" t="n">
        <v>24</v>
      </c>
      <c r="I8" s="5"/>
      <c r="J8" s="5"/>
      <c r="K8" s="5"/>
      <c r="L8" s="5" t="n">
        <v>49</v>
      </c>
      <c r="M8" s="5" t="n">
        <v>5</v>
      </c>
      <c r="N8" s="5"/>
      <c r="O8" s="5"/>
      <c r="P8" s="5"/>
      <c r="Q8" s="5" t="n">
        <v>1393</v>
      </c>
      <c r="R8" s="5" t="n">
        <v>17</v>
      </c>
      <c r="S8" s="5"/>
      <c r="T8" s="5"/>
    </row>
    <row r="9">
      <c r="A9" s="4" t="s">
        <v>30</v>
      </c>
      <c r="B9" s="5" t="n">
        <v>-121.45</v>
      </c>
      <c r="C9" s="5" t="n">
        <v>37.72</v>
      </c>
      <c r="D9" s="5" t="n">
        <v>466</v>
      </c>
      <c r="E9" s="7" t="n">
        <v>7138065</v>
      </c>
      <c r="F9" s="5" t="n">
        <v>-121.454</v>
      </c>
      <c r="G9" s="5" t="n">
        <v>37.723</v>
      </c>
      <c r="H9" s="5" t="n">
        <v>466</v>
      </c>
      <c r="I9" s="7" t="n">
        <v>7161714</v>
      </c>
      <c r="J9" s="8" t="n">
        <v>-23649</v>
      </c>
      <c r="K9" s="5" t="n">
        <v>-121.459</v>
      </c>
      <c r="L9" s="5" t="n">
        <v>37.723</v>
      </c>
      <c r="M9" s="5" t="n">
        <v>466</v>
      </c>
      <c r="N9" s="7" t="n">
        <v>7167065</v>
      </c>
      <c r="O9" s="8" t="n">
        <v>-29000</v>
      </c>
      <c r="P9" s="5" t="n">
        <v>-121.461</v>
      </c>
      <c r="Q9" s="5" t="n">
        <v>37.719</v>
      </c>
      <c r="R9" s="5" t="n">
        <v>466</v>
      </c>
      <c r="S9" s="7" t="n">
        <v>7175413</v>
      </c>
      <c r="T9" s="8" t="n">
        <v>-37348</v>
      </c>
    </row>
    <row r="10">
      <c r="A10" s="4" t="s">
        <v>31</v>
      </c>
      <c r="B10" s="5" t="n">
        <v>5984</v>
      </c>
      <c r="C10" s="5"/>
      <c r="D10" s="5"/>
      <c r="E10" s="7" t="n">
        <v>42684</v>
      </c>
      <c r="F10" s="5" t="n">
        <v>6867</v>
      </c>
      <c r="G10" s="5"/>
      <c r="H10" s="5"/>
      <c r="I10" s="7" t="n">
        <v>48983</v>
      </c>
      <c r="J10" s="8" t="n">
        <v>-6299</v>
      </c>
      <c r="K10" s="5" t="n">
        <v>5979</v>
      </c>
      <c r="L10" s="5"/>
      <c r="M10" s="5"/>
      <c r="N10" s="7" t="n">
        <v>42649</v>
      </c>
      <c r="O10" s="8" t="n">
        <v>35</v>
      </c>
      <c r="P10" s="5" t="n">
        <v>6015</v>
      </c>
      <c r="Q10" s="5"/>
      <c r="R10" s="5"/>
      <c r="S10" s="7" t="n">
        <v>42906</v>
      </c>
      <c r="T10" s="8" t="n">
        <v>-222</v>
      </c>
    </row>
    <row r="11">
      <c r="A11" s="4" t="s">
        <v>32</v>
      </c>
      <c r="B11" s="5" t="n">
        <v>78</v>
      </c>
      <c r="C11" s="5"/>
      <c r="D11" s="5"/>
      <c r="E11" s="7" t="n">
        <v>65436</v>
      </c>
      <c r="F11" s="5" t="n">
        <v>101</v>
      </c>
      <c r="G11" s="5"/>
      <c r="H11" s="5"/>
      <c r="I11" s="7" t="n">
        <v>82738</v>
      </c>
      <c r="J11" s="8" t="n">
        <v>-17302</v>
      </c>
      <c r="K11" s="5" t="n">
        <v>85</v>
      </c>
      <c r="L11" s="5"/>
      <c r="M11" s="5"/>
      <c r="N11" s="7" t="n">
        <v>66711</v>
      </c>
      <c r="O11" s="8" t="n">
        <v>-1275</v>
      </c>
      <c r="P11" s="5" t="n">
        <v>99</v>
      </c>
      <c r="Q11" s="5"/>
      <c r="R11" s="5"/>
      <c r="S11" s="7" t="n">
        <v>88819</v>
      </c>
      <c r="T11" s="8" t="n">
        <v>-23383</v>
      </c>
    </row>
    <row r="12">
      <c r="A12" s="4" t="s">
        <v>33</v>
      </c>
      <c r="B12" s="5" t="n">
        <v>13</v>
      </c>
      <c r="C12" s="5"/>
      <c r="D12" s="5"/>
      <c r="E12" s="6" t="n">
        <v>149278</v>
      </c>
      <c r="F12" s="5" t="n">
        <v>1392</v>
      </c>
      <c r="G12" s="5"/>
      <c r="H12" s="5"/>
      <c r="I12" s="6" t="n">
        <v>122498</v>
      </c>
      <c r="J12" s="6" t="n">
        <v>26780</v>
      </c>
      <c r="K12" s="5" t="n">
        <v>49</v>
      </c>
      <c r="L12" s="5"/>
      <c r="M12" s="5"/>
      <c r="N12" s="6" t="n">
        <v>148828</v>
      </c>
      <c r="O12" s="6" t="n">
        <v>449</v>
      </c>
      <c r="P12" s="5" t="n">
        <v>1393</v>
      </c>
      <c r="Q12" s="5"/>
      <c r="R12" s="5"/>
      <c r="S12" s="6" t="n">
        <v>122356</v>
      </c>
      <c r="T12" s="6" t="n">
        <v>26922</v>
      </c>
    </row>
    <row r="13">
      <c r="A13" s="4" t="s">
        <v>34</v>
      </c>
      <c r="B13" s="5" t="n">
        <v>1764</v>
      </c>
      <c r="C13" s="5"/>
      <c r="D13" s="5"/>
      <c r="E13" s="6" t="n">
        <v>-200962</v>
      </c>
      <c r="F13" s="5" t="n">
        <v>1940</v>
      </c>
      <c r="G13" s="5"/>
      <c r="H13" s="5"/>
      <c r="I13" s="6" t="n">
        <v>-64976</v>
      </c>
      <c r="J13" s="6" t="n">
        <v>-135986</v>
      </c>
      <c r="K13" s="5" t="n">
        <v>1720</v>
      </c>
      <c r="L13" s="5"/>
      <c r="M13" s="5"/>
      <c r="N13" s="6" t="n">
        <v>-236283</v>
      </c>
      <c r="O13" s="6" t="n">
        <v>35321</v>
      </c>
      <c r="P13" s="5" t="n">
        <v>1720</v>
      </c>
      <c r="Q13" s="5"/>
      <c r="R13" s="5"/>
      <c r="S13" s="6" t="n">
        <v>-236283</v>
      </c>
      <c r="T13" s="6" t="n">
        <v>35321</v>
      </c>
    </row>
    <row r="14">
      <c r="A14" s="4" t="s">
        <v>35</v>
      </c>
      <c r="B14" s="5" t="n">
        <v>3</v>
      </c>
      <c r="C14" s="5"/>
      <c r="D14" s="5"/>
      <c r="E14" s="6" t="n">
        <v>65531</v>
      </c>
      <c r="F14" s="5" t="n">
        <v>5</v>
      </c>
      <c r="G14" s="5"/>
      <c r="H14" s="5"/>
      <c r="I14" s="6" t="n">
        <v>78985</v>
      </c>
      <c r="J14" s="6" t="n">
        <v>-13454</v>
      </c>
      <c r="K14" s="5" t="n">
        <v>2</v>
      </c>
      <c r="L14" s="5"/>
      <c r="M14" s="5"/>
      <c r="N14" s="6" t="n">
        <v>-186122</v>
      </c>
      <c r="O14" s="6" t="n">
        <v>251653</v>
      </c>
      <c r="P14" s="5" t="n">
        <v>3</v>
      </c>
      <c r="Q14" s="5"/>
      <c r="R14" s="5"/>
      <c r="S14" s="6" t="n">
        <v>65531</v>
      </c>
      <c r="T14" s="6" t="n">
        <v>0</v>
      </c>
    </row>
    <row r="15">
      <c r="A15" s="4" t="s">
        <v>36</v>
      </c>
      <c r="B15" s="5" t="n">
        <v>2</v>
      </c>
      <c r="C15" s="5"/>
      <c r="D15" s="5"/>
      <c r="E15" s="6" t="n">
        <v>-54226</v>
      </c>
      <c r="F15" s="5" t="n">
        <v>3</v>
      </c>
      <c r="G15" s="5"/>
      <c r="H15" s="5"/>
      <c r="I15" s="6" t="n">
        <v>53081</v>
      </c>
      <c r="J15" s="6" t="n">
        <v>-107307</v>
      </c>
      <c r="K15" s="5" t="n">
        <v>2</v>
      </c>
      <c r="L15" s="5"/>
      <c r="M15" s="5"/>
      <c r="N15" s="6" t="n">
        <v>-54226</v>
      </c>
      <c r="O15" s="6" t="n">
        <v>0</v>
      </c>
      <c r="P15" s="5" t="n">
        <v>2</v>
      </c>
      <c r="Q15" s="5"/>
      <c r="R15" s="5"/>
      <c r="S15" s="6" t="n">
        <v>-54226</v>
      </c>
      <c r="T15" s="6" t="n">
        <v>0</v>
      </c>
    </row>
    <row r="16">
      <c r="A16" s="4" t="s">
        <v>37</v>
      </c>
      <c r="B16" s="5" t="n">
        <v>1</v>
      </c>
      <c r="C16" s="5"/>
      <c r="D16" s="5"/>
      <c r="E16" s="6" t="n">
        <v>4969</v>
      </c>
      <c r="F16" s="5" t="n">
        <v>2</v>
      </c>
      <c r="G16" s="5"/>
      <c r="H16" s="5"/>
      <c r="I16" s="6" t="n">
        <v>14727</v>
      </c>
      <c r="J16" s="6" t="n">
        <v>-9758</v>
      </c>
      <c r="K16" s="5" t="n">
        <v>2</v>
      </c>
      <c r="L16" s="5"/>
      <c r="M16" s="5"/>
      <c r="N16" s="6" t="n">
        <v>14727</v>
      </c>
      <c r="O16" s="6" t="n">
        <v>-9758</v>
      </c>
      <c r="P16" s="5" t="n">
        <v>2</v>
      </c>
      <c r="Q16" s="5"/>
      <c r="R16" s="5"/>
      <c r="S16" s="6" t="n">
        <v>14727</v>
      </c>
      <c r="T16" s="6" t="n">
        <v>-9758</v>
      </c>
    </row>
    <row r="17">
      <c r="A17" s="4" t="s">
        <v>38</v>
      </c>
      <c r="B17" s="5"/>
      <c r="C17" s="5"/>
      <c r="D17" s="5"/>
      <c r="E17" s="6" t="n">
        <v>-77316</v>
      </c>
      <c r="F17" s="5"/>
      <c r="G17" s="5"/>
      <c r="H17" s="5"/>
      <c r="I17" s="6" t="n">
        <v>31139</v>
      </c>
      <c r="J17" s="6" t="n">
        <v>-108455</v>
      </c>
      <c r="K17" s="5"/>
      <c r="L17" s="5"/>
      <c r="M17" s="5"/>
      <c r="N17" s="6" t="n">
        <v>-78579</v>
      </c>
      <c r="O17" s="6" t="n">
        <v>1263</v>
      </c>
      <c r="P17" s="5"/>
      <c r="Q17" s="5"/>
      <c r="R17" s="5"/>
      <c r="S17" s="6" t="n">
        <v>7453</v>
      </c>
      <c r="T17" s="6" t="n">
        <v>-84769</v>
      </c>
    </row>
    <row r="18">
      <c r="A18" s="4" t="s">
        <v>39</v>
      </c>
      <c r="B18" s="5"/>
      <c r="C18" s="5"/>
      <c r="D18" s="5"/>
      <c r="E18" s="6" t="n">
        <v>-156</v>
      </c>
      <c r="F18" s="5"/>
      <c r="G18" s="5"/>
      <c r="H18" s="5"/>
      <c r="I18" s="6" t="n">
        <v>339</v>
      </c>
      <c r="J18" s="6" t="n">
        <v>-495</v>
      </c>
      <c r="K18" s="5"/>
      <c r="L18" s="5"/>
      <c r="M18" s="5"/>
      <c r="N18" s="6" t="n">
        <v>-692</v>
      </c>
      <c r="O18" s="6" t="n">
        <v>537</v>
      </c>
      <c r="P18" s="5"/>
      <c r="Q18" s="5"/>
      <c r="R18" s="5"/>
      <c r="S18" s="6" t="n">
        <v>-182</v>
      </c>
      <c r="T18" s="6" t="n">
        <v>26</v>
      </c>
    </row>
    <row r="19">
      <c r="A19" s="4" t="s">
        <v>40</v>
      </c>
      <c r="B19" s="5"/>
      <c r="C19" s="5"/>
      <c r="D19" s="5"/>
      <c r="E19" s="6" t="n">
        <v>23961</v>
      </c>
      <c r="F19" s="5"/>
      <c r="G19" s="5"/>
      <c r="H19" s="5"/>
      <c r="I19" s="6" t="n">
        <v>-15189</v>
      </c>
      <c r="J19" s="6" t="n">
        <v>39150</v>
      </c>
      <c r="K19" s="5"/>
      <c r="L19" s="5"/>
      <c r="M19" s="5"/>
      <c r="N19" s="6" t="n">
        <v>27090</v>
      </c>
      <c r="O19" s="6" t="n">
        <v>-3129</v>
      </c>
      <c r="P19" s="5"/>
      <c r="Q19" s="5"/>
      <c r="R19" s="5"/>
      <c r="S19" s="6" t="n">
        <v>27090</v>
      </c>
      <c r="T19" s="6" t="n">
        <v>-3129</v>
      </c>
    </row>
    <row r="20">
      <c r="A20" s="4" t="s">
        <v>41</v>
      </c>
      <c r="B20" s="5"/>
      <c r="C20" s="5"/>
      <c r="D20" s="5"/>
      <c r="E20" s="6" t="n">
        <v>-123720</v>
      </c>
      <c r="F20" s="5"/>
      <c r="G20" s="5"/>
      <c r="H20" s="5"/>
      <c r="I20" s="6" t="n">
        <v>-166168</v>
      </c>
      <c r="J20" s="6" t="n">
        <v>42448</v>
      </c>
      <c r="K20" s="5"/>
      <c r="L20" s="5"/>
      <c r="M20" s="5"/>
      <c r="N20" s="6" t="n">
        <v>-17178</v>
      </c>
      <c r="O20" s="6" t="n">
        <v>-106542</v>
      </c>
      <c r="P20" s="5"/>
      <c r="Q20" s="5"/>
      <c r="R20" s="5"/>
      <c r="S20" s="6" t="n">
        <v>-23473</v>
      </c>
      <c r="T20" s="6" t="n">
        <v>-100247</v>
      </c>
    </row>
    <row r="21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>
      <c r="A22" s="4" t="s">
        <v>42</v>
      </c>
      <c r="B22" s="3" t="s">
        <v>43</v>
      </c>
      <c r="C22" s="3"/>
      <c r="D22" s="3"/>
      <c r="E22" s="3" t="s">
        <v>26</v>
      </c>
      <c r="F22" s="3" t="s">
        <v>44</v>
      </c>
      <c r="G22" s="3"/>
      <c r="H22" s="3"/>
      <c r="I22" s="3" t="s">
        <v>26</v>
      </c>
      <c r="J22" s="3" t="s">
        <v>27</v>
      </c>
      <c r="K22" s="3" t="s">
        <v>44</v>
      </c>
      <c r="L22" s="3"/>
      <c r="M22" s="3"/>
      <c r="N22" s="3" t="s">
        <v>26</v>
      </c>
      <c r="O22" s="3" t="s">
        <v>27</v>
      </c>
      <c r="P22" s="3" t="s">
        <v>44</v>
      </c>
      <c r="Q22" s="3"/>
      <c r="R22" s="3"/>
      <c r="S22" s="3" t="s">
        <v>26</v>
      </c>
      <c r="T22" s="3" t="s">
        <v>27</v>
      </c>
    </row>
    <row r="23">
      <c r="A23" s="4" t="s">
        <v>45</v>
      </c>
      <c r="B23" s="9" t="n">
        <v>9.1</v>
      </c>
      <c r="C23" s="2"/>
      <c r="D23" s="2"/>
      <c r="E23" s="11" t="str">
        <f>435038-SUM(E24:E34)</f>
      </c>
      <c r="F23" s="9" t="n">
        <v>8.8</v>
      </c>
      <c r="G23" s="5"/>
      <c r="H23" s="5"/>
      <c r="I23" s="10" t="str">
        <f>435071-SUM(I24:I34)</f>
      </c>
      <c r="J23" s="10" t="str">
        <f>E23-I23</f>
      </c>
      <c r="K23" s="9" t="n">
        <v>8.96</v>
      </c>
      <c r="L23" s="5"/>
      <c r="M23" s="5"/>
      <c r="N23" s="10" t="str">
        <f>473951-SUM(N24:N34)</f>
      </c>
      <c r="O23" s="10" t="str">
        <f>E23-N23</f>
      </c>
      <c r="P23" s="9" t="n">
        <v>6.89</v>
      </c>
      <c r="Q23" s="5"/>
      <c r="R23" s="5"/>
      <c r="S23" s="10" t="str">
        <f>153809-SUM(S24:S34)</f>
      </c>
      <c r="T23" s="10" t="str">
        <f>E23-S23</f>
      </c>
    </row>
    <row r="24">
      <c r="A24" s="4" t="s">
        <v>46</v>
      </c>
      <c r="B24" s="5"/>
      <c r="C24" s="5"/>
      <c r="D24" s="5"/>
      <c r="E24" s="16" t="n">
        <v>0</v>
      </c>
      <c r="F24" s="5"/>
      <c r="G24" s="5"/>
      <c r="H24" s="5"/>
      <c r="I24" s="16" t="n">
        <v>0</v>
      </c>
      <c r="J24" s="8" t="str">
        <f>E24-I24</f>
      </c>
      <c r="K24" s="5"/>
      <c r="L24" s="5"/>
      <c r="M24" s="5"/>
      <c r="N24" s="16" t="n">
        <v>0</v>
      </c>
      <c r="O24" s="8" t="str">
        <f>E24-N24</f>
      </c>
      <c r="P24" s="5"/>
      <c r="Q24" s="5"/>
      <c r="R24" s="5"/>
      <c r="S24" s="16" t="n">
        <v>0</v>
      </c>
      <c r="T24" s="8" t="str">
        <f>E24-S24</f>
      </c>
    </row>
    <row r="25">
      <c r="A25" s="4" t="s">
        <v>47</v>
      </c>
      <c r="B25" s="5"/>
      <c r="C25" s="5"/>
      <c r="D25" s="5"/>
      <c r="E25" s="16" t="n">
        <v>0</v>
      </c>
      <c r="F25" s="5"/>
      <c r="G25" s="5"/>
      <c r="H25" s="5"/>
      <c r="I25" s="16" t="n">
        <v>0</v>
      </c>
      <c r="J25" s="8" t="str">
        <f>E25-I25</f>
      </c>
      <c r="K25" s="5"/>
      <c r="L25" s="5"/>
      <c r="M25" s="5"/>
      <c r="N25" s="16" t="n">
        <v>0</v>
      </c>
      <c r="O25" s="8" t="str">
        <f>E25-N25</f>
      </c>
      <c r="P25" s="5"/>
      <c r="Q25" s="5"/>
      <c r="R25" s="5"/>
      <c r="S25" s="16" t="n">
        <v>0</v>
      </c>
      <c r="T25" s="8" t="str">
        <f>E25-S25</f>
      </c>
    </row>
    <row r="26">
      <c r="A26" s="4" t="s">
        <v>48</v>
      </c>
      <c r="B26" s="5"/>
      <c r="C26" s="5"/>
      <c r="D26" s="5"/>
      <c r="E26" s="16" t="n">
        <v>0</v>
      </c>
      <c r="F26" s="5"/>
      <c r="G26" s="5"/>
      <c r="H26" s="5"/>
      <c r="I26" s="16" t="n">
        <v>0</v>
      </c>
      <c r="J26" s="8" t="str">
        <f>E26-I26</f>
      </c>
      <c r="K26" s="5"/>
      <c r="L26" s="5"/>
      <c r="M26" s="5"/>
      <c r="N26" s="16" t="n">
        <v>0</v>
      </c>
      <c r="O26" s="8" t="str">
        <f>E26-N26</f>
      </c>
      <c r="P26" s="5"/>
      <c r="Q26" s="5"/>
      <c r="R26" s="5"/>
      <c r="S26" s="16" t="n">
        <v>0</v>
      </c>
      <c r="T26" s="8" t="str">
        <f>E26-S26</f>
      </c>
    </row>
    <row r="27">
      <c r="A27" s="4" t="s">
        <v>49</v>
      </c>
      <c r="B27" s="5"/>
      <c r="C27" s="5"/>
      <c r="D27" s="5"/>
      <c r="E27" s="16" t="n">
        <v>0</v>
      </c>
      <c r="F27" s="5"/>
      <c r="G27" s="5"/>
      <c r="H27" s="5"/>
      <c r="I27" s="16" t="n">
        <v>0</v>
      </c>
      <c r="J27" s="8" t="str">
        <f>E27-I27</f>
      </c>
      <c r="K27" s="5"/>
      <c r="L27" s="5"/>
      <c r="M27" s="5"/>
      <c r="N27" s="16" t="n">
        <v>0</v>
      </c>
      <c r="O27" s="8" t="str">
        <f>E27-N27</f>
      </c>
      <c r="P27" s="5"/>
      <c r="Q27" s="5"/>
      <c r="R27" s="5"/>
      <c r="S27" s="16" t="n">
        <v>0</v>
      </c>
      <c r="T27" s="8" t="str">
        <f>E27-S27</f>
      </c>
    </row>
    <row r="28">
      <c r="A28" s="4" t="s">
        <v>50</v>
      </c>
      <c r="B28" s="5"/>
      <c r="C28" s="5"/>
      <c r="D28" s="5"/>
      <c r="E28" s="16" t="n">
        <v>0</v>
      </c>
      <c r="F28" s="5"/>
      <c r="G28" s="5"/>
      <c r="H28" s="5"/>
      <c r="I28" s="16" t="n">
        <v>0</v>
      </c>
      <c r="J28" s="8" t="str">
        <f>E28-I28</f>
      </c>
      <c r="K28" s="5"/>
      <c r="L28" s="5"/>
      <c r="M28" s="5"/>
      <c r="N28" s="16" t="n">
        <v>0</v>
      </c>
      <c r="O28" s="8" t="str">
        <f>E28-N28</f>
      </c>
      <c r="P28" s="5"/>
      <c r="Q28" s="5"/>
      <c r="R28" s="5"/>
      <c r="S28" s="16" t="n">
        <v>0</v>
      </c>
      <c r="T28" s="8" t="str">
        <f>E28-S28</f>
      </c>
    </row>
    <row r="29">
      <c r="A29" s="4"/>
      <c r="B29" s="5"/>
      <c r="C29" s="5"/>
      <c r="D29" s="5"/>
      <c r="E29" s="16" t="n">
        <v>0</v>
      </c>
      <c r="F29" s="5"/>
      <c r="G29" s="5"/>
      <c r="H29" s="5"/>
      <c r="I29" s="16" t="n">
        <v>0</v>
      </c>
      <c r="J29" s="8" t="str">
        <f>E29-I29</f>
      </c>
      <c r="K29" s="5"/>
      <c r="L29" s="5"/>
      <c r="M29" s="5"/>
      <c r="N29" s="16" t="n">
        <v>0</v>
      </c>
      <c r="O29" s="8" t="str">
        <f>E29-N29</f>
      </c>
      <c r="P29" s="5"/>
      <c r="Q29" s="5"/>
      <c r="R29" s="5"/>
      <c r="S29" s="16" t="n">
        <v>0</v>
      </c>
      <c r="T29" s="8" t="str">
        <f>E29-S29</f>
      </c>
    </row>
    <row r="30">
      <c r="A30" s="4"/>
      <c r="B30" s="5"/>
      <c r="C30" s="5"/>
      <c r="D30" s="5"/>
      <c r="E30" s="16" t="n">
        <v>0</v>
      </c>
      <c r="F30" s="5"/>
      <c r="G30" s="5"/>
      <c r="H30" s="5"/>
      <c r="I30" s="16" t="n">
        <v>0</v>
      </c>
      <c r="J30" s="8" t="str">
        <f>E30-I30</f>
      </c>
      <c r="K30" s="5"/>
      <c r="L30" s="5"/>
      <c r="M30" s="5"/>
      <c r="N30" s="16" t="n">
        <v>0</v>
      </c>
      <c r="O30" s="8" t="str">
        <f>E30-N30</f>
      </c>
      <c r="P30" s="5"/>
      <c r="Q30" s="5"/>
      <c r="R30" s="5"/>
      <c r="S30" s="16" t="n">
        <v>0</v>
      </c>
      <c r="T30" s="8" t="str">
        <f>E30-S30</f>
      </c>
    </row>
    <row r="31">
      <c r="A31" s="4"/>
      <c r="B31" s="5"/>
      <c r="C31" s="5"/>
      <c r="D31" s="5"/>
      <c r="E31" s="16" t="n">
        <v>0</v>
      </c>
      <c r="F31" s="5"/>
      <c r="G31" s="5"/>
      <c r="H31" s="5"/>
      <c r="I31" s="16" t="n">
        <v>0</v>
      </c>
      <c r="J31" s="8" t="str">
        <f>E31-I31</f>
      </c>
      <c r="K31" s="5"/>
      <c r="L31" s="5"/>
      <c r="M31" s="5"/>
      <c r="N31" s="16" t="n">
        <v>0</v>
      </c>
      <c r="O31" s="8" t="str">
        <f>E31-N31</f>
      </c>
      <c r="P31" s="5"/>
      <c r="Q31" s="5"/>
      <c r="R31" s="5"/>
      <c r="S31" s="16" t="n">
        <v>0</v>
      </c>
      <c r="T31" s="8" t="str">
        <f>E31-S31</f>
      </c>
    </row>
    <row r="32">
      <c r="A32" s="4"/>
      <c r="B32" s="5"/>
      <c r="C32" s="5"/>
      <c r="D32" s="5"/>
      <c r="E32" s="16" t="n">
        <v>0</v>
      </c>
      <c r="F32" s="5"/>
      <c r="G32" s="5"/>
      <c r="H32" s="5"/>
      <c r="I32" s="16" t="n">
        <v>0</v>
      </c>
      <c r="J32" s="8" t="str">
        <f>E32-I32</f>
      </c>
      <c r="K32" s="5"/>
      <c r="L32" s="5"/>
      <c r="M32" s="5"/>
      <c r="N32" s="16" t="n">
        <v>0</v>
      </c>
      <c r="O32" s="8" t="str">
        <f>E32-N32</f>
      </c>
      <c r="P32" s="5"/>
      <c r="Q32" s="5"/>
      <c r="R32" s="5"/>
      <c r="S32" s="16" t="n">
        <v>0</v>
      </c>
      <c r="T32" s="8" t="str">
        <f>E32-S32</f>
      </c>
    </row>
    <row r="33">
      <c r="A33" s="4"/>
      <c r="B33" s="5"/>
      <c r="C33" s="5"/>
      <c r="D33" s="5"/>
      <c r="E33" s="16" t="n">
        <v>0</v>
      </c>
      <c r="F33" s="5"/>
      <c r="G33" s="5"/>
      <c r="H33" s="5"/>
      <c r="I33" s="16" t="n">
        <v>0</v>
      </c>
      <c r="J33" s="8" t="str">
        <f>E33-I33</f>
      </c>
      <c r="K33" s="5"/>
      <c r="L33" s="5"/>
      <c r="M33" s="5"/>
      <c r="N33" s="16" t="n">
        <v>0</v>
      </c>
      <c r="O33" s="8" t="str">
        <f>E33-N33</f>
      </c>
      <c r="P33" s="5"/>
      <c r="Q33" s="5"/>
      <c r="R33" s="5"/>
      <c r="S33" s="16" t="n">
        <v>0</v>
      </c>
      <c r="T33" s="8" t="str">
        <f>E33-S33</f>
      </c>
    </row>
    <row r="34">
      <c r="A34" s="4"/>
      <c r="B34" s="5"/>
      <c r="C34" s="5"/>
      <c r="D34" s="5"/>
      <c r="E34" s="16" t="n">
        <v>0</v>
      </c>
      <c r="F34" s="5"/>
      <c r="G34" s="5"/>
      <c r="H34" s="5"/>
      <c r="I34" s="16" t="n">
        <v>0</v>
      </c>
      <c r="J34" s="8" t="str">
        <f>E34-I34</f>
      </c>
      <c r="K34" s="5"/>
      <c r="L34" s="5"/>
      <c r="M34" s="5"/>
      <c r="N34" s="16" t="n">
        <v>0</v>
      </c>
      <c r="O34" s="8" t="str">
        <f>E34-N34</f>
      </c>
      <c r="P34" s="5"/>
      <c r="Q34" s="5"/>
      <c r="R34" s="5"/>
      <c r="S34" s="16" t="n">
        <v>0</v>
      </c>
      <c r="T34" s="8" t="str">
        <f>E34-S34</f>
      </c>
    </row>
    <row r="35">
      <c r="A35" s="4" t="s">
        <v>51</v>
      </c>
      <c r="B35" s="5"/>
      <c r="C35" s="5"/>
      <c r="D35" s="5"/>
      <c r="E35" s="6" t="n">
        <v>2576602</v>
      </c>
      <c r="F35" s="5"/>
      <c r="G35" s="5"/>
      <c r="H35" s="5"/>
      <c r="I35" s="5"/>
      <c r="J35" s="6" t="n">
        <v>-314358</v>
      </c>
      <c r="K35" s="5"/>
      <c r="L35" s="5"/>
      <c r="M35" s="5"/>
      <c r="N35" s="5"/>
      <c r="O35" s="6" t="n">
        <v>100642</v>
      </c>
      <c r="P35" s="5"/>
      <c r="Q35" s="5"/>
      <c r="R35" s="5"/>
      <c r="S35" s="5"/>
      <c r="T35" s="6" t="n">
        <v>84642</v>
      </c>
    </row>
    <row r="36">
      <c r="A36" s="4" t="s">
        <v>52</v>
      </c>
      <c r="B36" s="5"/>
      <c r="C36" s="5"/>
      <c r="D36" s="5"/>
      <c r="E36" s="5"/>
      <c r="F36" s="5"/>
      <c r="G36" s="5"/>
      <c r="H36" s="5"/>
      <c r="I36" s="5"/>
      <c r="J36" s="12" t="n">
        <v>-0.095</v>
      </c>
      <c r="K36" s="5"/>
      <c r="L36" s="5"/>
      <c r="M36" s="5"/>
      <c r="N36" s="5"/>
      <c r="O36" s="12" t="n">
        <v>0.035</v>
      </c>
      <c r="P36" s="5"/>
      <c r="Q36" s="5"/>
      <c r="R36" s="5"/>
      <c r="S36" s="5"/>
      <c r="T36" s="12" t="n">
        <v>0.029</v>
      </c>
    </row>
    <row r="37">
      <c r="A37" s="4" t="s">
        <v>53</v>
      </c>
      <c r="B37" s="5"/>
      <c r="C37" s="5"/>
      <c r="D37" s="5"/>
      <c r="E37" s="5"/>
      <c r="F37" s="5"/>
      <c r="G37" s="5"/>
      <c r="H37" s="5"/>
      <c r="I37" s="5"/>
      <c r="J37" s="12" t="n">
        <v>0.201</v>
      </c>
      <c r="K37" s="5"/>
      <c r="L37" s="5"/>
      <c r="M37" s="5"/>
      <c r="N37" s="5"/>
      <c r="O37" s="12" t="n">
        <v>0.212</v>
      </c>
      <c r="P37" s="5"/>
      <c r="Q37" s="5"/>
      <c r="R37" s="5"/>
      <c r="S37" s="5"/>
      <c r="T37" s="12" t="n">
        <v>0.222</v>
      </c>
    </row>
    <row r="38">
      <c r="A38" s="14" t="s">
        <v>54</v>
      </c>
      <c r="B38" s="13" t="str">
        <f>SUM(E7:E34)</f>
      </c>
      <c r="C38" s="13"/>
      <c r="D38" s="13"/>
      <c r="E38" s="13"/>
      <c r="F38" s="13" t="str">
        <f>H5+SUM(J9:J34)</f>
      </c>
      <c r="G38" s="13"/>
      <c r="H38" s="13"/>
      <c r="I38" s="13"/>
      <c r="J38" s="13"/>
      <c r="K38" s="13" t="str">
        <f>M5+SUM(O9:O34)</f>
      </c>
      <c r="L38" s="13"/>
      <c r="M38" s="13"/>
      <c r="N38" s="13"/>
      <c r="O38" s="13"/>
      <c r="P38" s="13" t="str">
        <f>R5+SUM(T9:T34)</f>
      </c>
      <c r="Q38" s="13"/>
      <c r="R38" s="13"/>
      <c r="S38" s="13"/>
      <c r="T38" s="13"/>
    </row>
    <row r="39">
      <c r="A39" s="15" t="s">
        <v>55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</row>
  </sheetData>
  <sheetProtection formatCells="0" formatColumns="0" insertColumns="1" insertRows="1" deleteColumns="1" deleteRows="1" sheet="1"/>
  <mergeCells count="50">
    <mergeCell ref="A1:T1"/>
    <mergeCell ref="B2:E2"/>
    <mergeCell ref="F2:J2"/>
    <mergeCell ref="K2:O2"/>
    <mergeCell ref="P2:T2"/>
    <mergeCell ref="B3:E3"/>
    <mergeCell ref="F3:J3"/>
    <mergeCell ref="K3:O3"/>
    <mergeCell ref="P3:T3"/>
    <mergeCell ref="B4:C4"/>
    <mergeCell ref="I4:J4"/>
    <mergeCell ref="N4:O4"/>
    <mergeCell ref="S4:T4"/>
    <mergeCell ref="D5:E5"/>
    <mergeCell ref="H5:J5"/>
    <mergeCell ref="M5:O5"/>
    <mergeCell ref="R5:T5"/>
    <mergeCell ref="B6:C6"/>
    <mergeCell ref="F6:H6"/>
    <mergeCell ref="K6:M6"/>
    <mergeCell ref="P6:R6"/>
    <mergeCell ref="B12:D12"/>
    <mergeCell ref="F12:H12"/>
    <mergeCell ref="K12:M12"/>
    <mergeCell ref="P12:R12"/>
    <mergeCell ref="B13:D13"/>
    <mergeCell ref="F13:H13"/>
    <mergeCell ref="K13:M13"/>
    <mergeCell ref="P13:R13"/>
    <mergeCell ref="B14:D14"/>
    <mergeCell ref="F14:H14"/>
    <mergeCell ref="K14:M14"/>
    <mergeCell ref="P14:R14"/>
    <mergeCell ref="B15:D15"/>
    <mergeCell ref="F15:H15"/>
    <mergeCell ref="K15:M15"/>
    <mergeCell ref="P15:R15"/>
    <mergeCell ref="B16:D16"/>
    <mergeCell ref="F16:H16"/>
    <mergeCell ref="K16:M16"/>
    <mergeCell ref="P16:R16"/>
    <mergeCell ref="B22:C22"/>
    <mergeCell ref="F22:H22"/>
    <mergeCell ref="K22:M22"/>
    <mergeCell ref="P22:R22"/>
    <mergeCell ref="B38:E38"/>
    <mergeCell ref="F38:J38"/>
    <mergeCell ref="K38:O38"/>
    <mergeCell ref="P38:T38"/>
    <mergeCell ref="A39:T39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9.71" hidden="0" customWidth="1"/>
    <col min="2" max="2" width="11.71" hidden="0" customWidth="1"/>
    <col min="3" max="3" width="8.71" hidden="0" customWidth="1"/>
    <col min="4" max="4" width="4.71" hidden="0" customWidth="1"/>
    <col min="5" max="5" width="12.71" hidden="0" customWidth="1"/>
    <col min="6" max="6" width="11.71" hidden="0" customWidth="1"/>
    <col min="7" max="7" width="8.71" hidden="0" customWidth="1"/>
    <col min="8" max="8" width="7.71" hidden="0" customWidth="1"/>
    <col min="9" max="9" width="12.71" hidden="0" customWidth="1"/>
    <col min="10" max="10" width="11.71" hidden="0" customWidth="1"/>
    <col min="11" max="11" width="11.71" hidden="0" customWidth="1"/>
    <col min="12" max="12" width="8.71" hidden="0" customWidth="1"/>
    <col min="13" max="13" width="7.71" hidden="0" customWidth="1"/>
    <col min="14" max="14" width="12.71" hidden="0" customWidth="1"/>
    <col min="15" max="15" width="11.71" hidden="0" customWidth="1"/>
    <col min="16" max="16" width="11.71" hidden="0" customWidth="1"/>
    <col min="17" max="17" width="8.71" hidden="0" customWidth="1"/>
    <col min="18" max="18" width="7.71" hidden="0" customWidth="1"/>
    <col min="19" max="19" width="12.71" hidden="0" customWidth="1"/>
    <col min="20" max="20" width="11.71" hidden="0" customWidth="1"/>
  </cols>
  <sheetData>
    <row r="1">
      <c r="A1" s="1" t="s">
        <v>103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2"/>
      <c r="B2" s="2" t="s">
        <v>1</v>
      </c>
      <c r="C2" s="2"/>
      <c r="D2" s="2"/>
      <c r="E2" s="2"/>
      <c r="F2" s="2" t="s">
        <v>104</v>
      </c>
      <c r="G2" s="2"/>
      <c r="H2" s="2"/>
      <c r="I2" s="2"/>
      <c r="J2" s="2"/>
      <c r="K2" s="2" t="s">
        <v>105</v>
      </c>
      <c r="L2" s="2"/>
      <c r="M2" s="2"/>
      <c r="N2" s="2"/>
      <c r="O2" s="2"/>
      <c r="P2" s="2" t="s">
        <v>106</v>
      </c>
      <c r="Q2" s="2"/>
      <c r="R2" s="2"/>
      <c r="S2" s="2"/>
      <c r="T2" s="2"/>
    </row>
    <row r="3">
      <c r="A3" s="4" t="s">
        <v>5</v>
      </c>
      <c r="B3" s="3" t="s">
        <v>6</v>
      </c>
      <c r="C3" s="3"/>
      <c r="D3" s="3"/>
      <c r="E3" s="3"/>
      <c r="F3" s="3" t="s">
        <v>107</v>
      </c>
      <c r="G3" s="3"/>
      <c r="H3" s="3"/>
      <c r="I3" s="3"/>
      <c r="J3" s="3"/>
      <c r="K3" s="3" t="s">
        <v>108</v>
      </c>
      <c r="L3" s="3"/>
      <c r="M3" s="3"/>
      <c r="N3" s="3"/>
      <c r="O3" s="3"/>
      <c r="P3" s="3" t="s">
        <v>109</v>
      </c>
      <c r="Q3" s="3"/>
      <c r="R3" s="3"/>
      <c r="S3" s="3"/>
      <c r="T3" s="3"/>
    </row>
    <row r="4">
      <c r="A4" s="4" t="s">
        <v>10</v>
      </c>
      <c r="B4" s="5" t="s">
        <v>11</v>
      </c>
      <c r="C4" s="5"/>
      <c r="D4" s="5" t="n">
        <v>6</v>
      </c>
      <c r="E4" s="5" t="s">
        <v>12</v>
      </c>
      <c r="F4" s="5" t="s">
        <v>110</v>
      </c>
      <c r="G4" s="5" t="s">
        <v>111</v>
      </c>
      <c r="H4" s="5" t="n">
        <v>11</v>
      </c>
      <c r="I4" s="5" t="s">
        <v>112</v>
      </c>
      <c r="J4" s="5"/>
      <c r="K4" s="5" t="s">
        <v>113</v>
      </c>
      <c r="L4" s="5" t="s">
        <v>114</v>
      </c>
      <c r="M4" s="5" t="n">
        <v>32</v>
      </c>
      <c r="N4" s="5" t="s">
        <v>115</v>
      </c>
      <c r="O4" s="5"/>
      <c r="P4" s="5" t="s">
        <v>116</v>
      </c>
      <c r="Q4" s="5" t="s">
        <v>117</v>
      </c>
      <c r="R4" s="5" t="n">
        <v>10</v>
      </c>
      <c r="S4" s="5" t="s">
        <v>118</v>
      </c>
      <c r="T4" s="5"/>
    </row>
    <row r="5">
      <c r="A5" s="4" t="s">
        <v>22</v>
      </c>
      <c r="B5" s="5" t="s">
        <v>23</v>
      </c>
      <c r="C5" s="6" t="n">
        <v>0</v>
      </c>
      <c r="D5" s="5" t="s">
        <v>23</v>
      </c>
      <c r="E5" s="5"/>
      <c r="F5" s="6" t="n">
        <v>3710000</v>
      </c>
      <c r="G5" s="6" t="n">
        <v>0</v>
      </c>
      <c r="H5" s="6" t="str">
        <f>F5-G5</f>
      </c>
      <c r="I5" s="5"/>
      <c r="J5" s="5"/>
      <c r="K5" s="6" t="n">
        <v>2567000</v>
      </c>
      <c r="L5" s="6" t="n">
        <v>0</v>
      </c>
      <c r="M5" s="6" t="str">
        <f>K5-L5</f>
      </c>
      <c r="N5" s="5"/>
      <c r="O5" s="5"/>
      <c r="P5" s="6" t="n">
        <v>3172000</v>
      </c>
      <c r="Q5" s="6" t="n">
        <v>0</v>
      </c>
      <c r="R5" s="6" t="str">
        <f>P5-Q5</f>
      </c>
      <c r="S5" s="5"/>
      <c r="T5" s="5"/>
    </row>
    <row r="6">
      <c r="A6" s="4" t="s">
        <v>24</v>
      </c>
      <c r="B6" s="3" t="s">
        <v>25</v>
      </c>
      <c r="C6" s="3"/>
      <c r="D6" s="3"/>
      <c r="E6" s="3" t="s">
        <v>26</v>
      </c>
      <c r="F6" s="3" t="s">
        <v>25</v>
      </c>
      <c r="G6" s="3"/>
      <c r="H6" s="3"/>
      <c r="I6" s="3" t="s">
        <v>26</v>
      </c>
      <c r="J6" s="3" t="s">
        <v>27</v>
      </c>
      <c r="K6" s="3" t="s">
        <v>25</v>
      </c>
      <c r="L6" s="3"/>
      <c r="M6" s="3"/>
      <c r="N6" s="3" t="s">
        <v>26</v>
      </c>
      <c r="O6" s="3" t="s">
        <v>27</v>
      </c>
      <c r="P6" s="3" t="s">
        <v>25</v>
      </c>
      <c r="Q6" s="3"/>
      <c r="R6" s="3"/>
      <c r="S6" s="3" t="s">
        <v>26</v>
      </c>
      <c r="T6" s="3" t="s">
        <v>27</v>
      </c>
    </row>
    <row r="7">
      <c r="A7" s="4" t="s">
        <v>28</v>
      </c>
      <c r="B7" s="5"/>
      <c r="C7" s="5"/>
      <c r="D7" s="5"/>
      <c r="E7" s="6" t="n">
        <v>-4456942</v>
      </c>
      <c r="F7" s="5"/>
      <c r="G7" s="5"/>
      <c r="H7" s="5"/>
      <c r="I7" s="6" t="n">
        <v>-4456942</v>
      </c>
      <c r="J7" s="5"/>
      <c r="K7" s="5"/>
      <c r="L7" s="5"/>
      <c r="M7" s="5"/>
      <c r="N7" s="6" t="n">
        <v>-4456942</v>
      </c>
      <c r="O7" s="5"/>
      <c r="P7" s="5"/>
      <c r="Q7" s="5"/>
      <c r="R7" s="5"/>
      <c r="S7" s="6" t="n">
        <v>-4456942</v>
      </c>
      <c r="T7" s="5"/>
    </row>
    <row r="8">
      <c r="A8" s="4" t="s">
        <v>29</v>
      </c>
      <c r="B8" s="5"/>
      <c r="C8" s="5" t="n">
        <v>13</v>
      </c>
      <c r="D8" s="5" t="n">
        <v>6</v>
      </c>
      <c r="E8" s="5"/>
      <c r="F8" s="5"/>
      <c r="G8" s="5" t="n">
        <v>1318</v>
      </c>
      <c r="H8" s="5" t="n">
        <v>11</v>
      </c>
      <c r="I8" s="5"/>
      <c r="J8" s="5"/>
      <c r="K8" s="5"/>
      <c r="L8" s="5" t="n">
        <v>1534</v>
      </c>
      <c r="M8" s="5" t="n">
        <v>32</v>
      </c>
      <c r="N8" s="5"/>
      <c r="O8" s="5"/>
      <c r="P8" s="5"/>
      <c r="Q8" s="5" t="n">
        <v>1532</v>
      </c>
      <c r="R8" s="5" t="n">
        <v>10</v>
      </c>
      <c r="S8" s="5"/>
      <c r="T8" s="5"/>
    </row>
    <row r="9">
      <c r="A9" s="4" t="s">
        <v>30</v>
      </c>
      <c r="B9" s="5" t="n">
        <v>-121.45</v>
      </c>
      <c r="C9" s="5" t="n">
        <v>37.72</v>
      </c>
      <c r="D9" s="5" t="n">
        <v>466</v>
      </c>
      <c r="E9" s="7" t="n">
        <v>7138065</v>
      </c>
      <c r="F9" s="5" t="n">
        <v>-121.461</v>
      </c>
      <c r="G9" s="5" t="n">
        <v>37.722</v>
      </c>
      <c r="H9" s="5" t="n">
        <v>466</v>
      </c>
      <c r="I9" s="7" t="n">
        <v>7170902</v>
      </c>
      <c r="J9" s="8" t="n">
        <v>-32837</v>
      </c>
      <c r="K9" s="5" t="n">
        <v>-121.45</v>
      </c>
      <c r="L9" s="5" t="n">
        <v>37.722</v>
      </c>
      <c r="M9" s="5" t="n">
        <v>466</v>
      </c>
      <c r="N9" s="7" t="n">
        <v>7109335</v>
      </c>
      <c r="O9" s="8" t="n">
        <v>28730</v>
      </c>
      <c r="P9" s="5" t="n">
        <v>-121.48</v>
      </c>
      <c r="Q9" s="5" t="n">
        <v>37.714</v>
      </c>
      <c r="R9" s="5" t="n">
        <v>471</v>
      </c>
      <c r="S9" s="7" t="n">
        <v>7060602</v>
      </c>
      <c r="T9" s="8" t="n">
        <v>77463</v>
      </c>
    </row>
    <row r="10">
      <c r="A10" s="4" t="s">
        <v>31</v>
      </c>
      <c r="B10" s="5" t="n">
        <v>5984</v>
      </c>
      <c r="C10" s="5"/>
      <c r="D10" s="5"/>
      <c r="E10" s="7" t="n">
        <v>42684</v>
      </c>
      <c r="F10" s="5" t="n">
        <v>6283</v>
      </c>
      <c r="G10" s="5"/>
      <c r="H10" s="5"/>
      <c r="I10" s="7" t="n">
        <v>44817</v>
      </c>
      <c r="J10" s="8" t="n">
        <v>-2133</v>
      </c>
      <c r="K10" s="5" t="n">
        <v>5986</v>
      </c>
      <c r="L10" s="5"/>
      <c r="M10" s="5"/>
      <c r="N10" s="7" t="n">
        <v>42699</v>
      </c>
      <c r="O10" s="8" t="n">
        <v>-15</v>
      </c>
      <c r="P10" s="5" t="n">
        <v>7917</v>
      </c>
      <c r="Q10" s="5"/>
      <c r="R10" s="5"/>
      <c r="S10" s="7" t="n">
        <v>56473</v>
      </c>
      <c r="T10" s="8" t="n">
        <v>-13789</v>
      </c>
    </row>
    <row r="11">
      <c r="A11" s="4" t="s">
        <v>32</v>
      </c>
      <c r="B11" s="5" t="n">
        <v>78</v>
      </c>
      <c r="C11" s="5"/>
      <c r="D11" s="5"/>
      <c r="E11" s="7" t="n">
        <v>65436</v>
      </c>
      <c r="F11" s="5" t="n">
        <v>96</v>
      </c>
      <c r="G11" s="5"/>
      <c r="H11" s="5"/>
      <c r="I11" s="7" t="n">
        <v>91189</v>
      </c>
      <c r="J11" s="8" t="n">
        <v>-25753</v>
      </c>
      <c r="K11" s="5" t="n">
        <v>117</v>
      </c>
      <c r="L11" s="5"/>
      <c r="M11" s="5"/>
      <c r="N11" s="7" t="n">
        <v>11619</v>
      </c>
      <c r="O11" s="8" t="n">
        <v>53817</v>
      </c>
      <c r="P11" s="5" t="n">
        <v>73</v>
      </c>
      <c r="Q11" s="5"/>
      <c r="R11" s="5"/>
      <c r="S11" s="7" t="n">
        <v>52071</v>
      </c>
      <c r="T11" s="8" t="n">
        <v>13365</v>
      </c>
    </row>
    <row r="12">
      <c r="A12" s="4" t="s">
        <v>33</v>
      </c>
      <c r="B12" s="5" t="n">
        <v>13</v>
      </c>
      <c r="C12" s="5"/>
      <c r="D12" s="5"/>
      <c r="E12" s="6" t="n">
        <v>149278</v>
      </c>
      <c r="F12" s="5" t="n">
        <v>1318</v>
      </c>
      <c r="G12" s="5"/>
      <c r="H12" s="5"/>
      <c r="I12" s="6" t="n">
        <v>130141</v>
      </c>
      <c r="J12" s="6" t="n">
        <v>19137</v>
      </c>
      <c r="K12" s="5" t="n">
        <v>1534</v>
      </c>
      <c r="L12" s="5"/>
      <c r="M12" s="5"/>
      <c r="N12" s="6" t="n">
        <v>89513</v>
      </c>
      <c r="O12" s="6" t="n">
        <v>59764</v>
      </c>
      <c r="P12" s="5" t="n">
        <v>1532</v>
      </c>
      <c r="Q12" s="5"/>
      <c r="R12" s="5"/>
      <c r="S12" s="6" t="n">
        <v>90172</v>
      </c>
      <c r="T12" s="6" t="n">
        <v>59105</v>
      </c>
    </row>
    <row r="13">
      <c r="A13" s="4" t="s">
        <v>34</v>
      </c>
      <c r="B13" s="5" t="n">
        <v>1764</v>
      </c>
      <c r="C13" s="5"/>
      <c r="D13" s="5"/>
      <c r="E13" s="6" t="n">
        <v>-200962</v>
      </c>
      <c r="F13" s="5" t="n">
        <v>2080</v>
      </c>
      <c r="G13" s="5"/>
      <c r="H13" s="5"/>
      <c r="I13" s="6" t="n">
        <v>37422</v>
      </c>
      <c r="J13" s="6" t="n">
        <v>-238384</v>
      </c>
      <c r="K13" s="5" t="n">
        <v>1660</v>
      </c>
      <c r="L13" s="5"/>
      <c r="M13" s="5"/>
      <c r="N13" s="6" t="n">
        <v>-285247</v>
      </c>
      <c r="O13" s="6" t="n">
        <v>84286</v>
      </c>
      <c r="P13" s="5" t="n">
        <v>1900</v>
      </c>
      <c r="Q13" s="5"/>
      <c r="R13" s="5"/>
      <c r="S13" s="6" t="n">
        <v>-95136</v>
      </c>
      <c r="T13" s="6" t="n">
        <v>-105826</v>
      </c>
    </row>
    <row r="14">
      <c r="A14" s="4" t="s">
        <v>35</v>
      </c>
      <c r="B14" s="5" t="n">
        <v>3</v>
      </c>
      <c r="C14" s="5"/>
      <c r="D14" s="5"/>
      <c r="E14" s="6" t="n">
        <v>65531</v>
      </c>
      <c r="F14" s="5" t="n">
        <v>4</v>
      </c>
      <c r="G14" s="5"/>
      <c r="H14" s="5"/>
      <c r="I14" s="6" t="n">
        <v>93267</v>
      </c>
      <c r="J14" s="6" t="n">
        <v>-27735</v>
      </c>
      <c r="K14" s="5" t="n">
        <v>3</v>
      </c>
      <c r="L14" s="5"/>
      <c r="M14" s="5"/>
      <c r="N14" s="6" t="n">
        <v>65531</v>
      </c>
      <c r="O14" s="6" t="n">
        <v>0</v>
      </c>
      <c r="P14" s="5" t="n">
        <v>3</v>
      </c>
      <c r="Q14" s="5"/>
      <c r="R14" s="5"/>
      <c r="S14" s="6" t="n">
        <v>65531</v>
      </c>
      <c r="T14" s="6" t="n">
        <v>0</v>
      </c>
    </row>
    <row r="15">
      <c r="A15" s="4" t="s">
        <v>36</v>
      </c>
      <c r="B15" s="5" t="n">
        <v>2</v>
      </c>
      <c r="C15" s="5"/>
      <c r="D15" s="5"/>
      <c r="E15" s="6" t="n">
        <v>-54226</v>
      </c>
      <c r="F15" s="5" t="n">
        <v>2</v>
      </c>
      <c r="G15" s="5"/>
      <c r="H15" s="5"/>
      <c r="I15" s="6" t="n">
        <v>-54226</v>
      </c>
      <c r="J15" s="6" t="n">
        <v>0</v>
      </c>
      <c r="K15" s="5" t="n">
        <v>2</v>
      </c>
      <c r="L15" s="5"/>
      <c r="M15" s="5"/>
      <c r="N15" s="6" t="n">
        <v>-54226</v>
      </c>
      <c r="O15" s="6" t="n">
        <v>0</v>
      </c>
      <c r="P15" s="5" t="n">
        <v>2</v>
      </c>
      <c r="Q15" s="5"/>
      <c r="R15" s="5"/>
      <c r="S15" s="6" t="n">
        <v>-54226</v>
      </c>
      <c r="T15" s="6" t="n">
        <v>0</v>
      </c>
    </row>
    <row r="16">
      <c r="A16" s="4" t="s">
        <v>37</v>
      </c>
      <c r="B16" s="5" t="n">
        <v>1</v>
      </c>
      <c r="C16" s="5"/>
      <c r="D16" s="5"/>
      <c r="E16" s="6" t="n">
        <v>4969</v>
      </c>
      <c r="F16" s="5" t="n">
        <v>1</v>
      </c>
      <c r="G16" s="5"/>
      <c r="H16" s="5"/>
      <c r="I16" s="6" t="n">
        <v>4969</v>
      </c>
      <c r="J16" s="6" t="n">
        <v>0</v>
      </c>
      <c r="K16" s="5" t="n">
        <v>2</v>
      </c>
      <c r="L16" s="5"/>
      <c r="M16" s="5"/>
      <c r="N16" s="6" t="n">
        <v>14727</v>
      </c>
      <c r="O16" s="6" t="n">
        <v>-9758</v>
      </c>
      <c r="P16" s="5" t="n">
        <v>2</v>
      </c>
      <c r="Q16" s="5"/>
      <c r="R16" s="5"/>
      <c r="S16" s="6" t="n">
        <v>14727</v>
      </c>
      <c r="T16" s="6" t="n">
        <v>-9758</v>
      </c>
    </row>
    <row r="17">
      <c r="A17" s="4" t="s">
        <v>38</v>
      </c>
      <c r="B17" s="5"/>
      <c r="C17" s="5"/>
      <c r="D17" s="5"/>
      <c r="E17" s="6" t="n">
        <v>-77316</v>
      </c>
      <c r="F17" s="5"/>
      <c r="G17" s="5"/>
      <c r="H17" s="5"/>
      <c r="I17" s="6" t="n">
        <v>46761</v>
      </c>
      <c r="J17" s="6" t="n">
        <v>-124077</v>
      </c>
      <c r="K17" s="5"/>
      <c r="L17" s="5"/>
      <c r="M17" s="5"/>
      <c r="N17" s="6" t="n">
        <v>-1839</v>
      </c>
      <c r="O17" s="6" t="n">
        <v>-75477</v>
      </c>
      <c r="P17" s="5"/>
      <c r="Q17" s="5"/>
      <c r="R17" s="5"/>
      <c r="S17" s="6" t="n">
        <v>15911</v>
      </c>
      <c r="T17" s="6" t="n">
        <v>-93227</v>
      </c>
    </row>
    <row r="18">
      <c r="A18" s="4" t="s">
        <v>39</v>
      </c>
      <c r="B18" s="5"/>
      <c r="C18" s="5"/>
      <c r="D18" s="5"/>
      <c r="E18" s="6" t="n">
        <v>-156</v>
      </c>
      <c r="F18" s="5"/>
      <c r="G18" s="5"/>
      <c r="H18" s="5"/>
      <c r="I18" s="6" t="n">
        <v>-35</v>
      </c>
      <c r="J18" s="6" t="n">
        <v>-121</v>
      </c>
      <c r="K18" s="5"/>
      <c r="L18" s="5"/>
      <c r="M18" s="5"/>
      <c r="N18" s="6" t="n">
        <v>-218</v>
      </c>
      <c r="O18" s="6" t="n">
        <v>62</v>
      </c>
      <c r="P18" s="5"/>
      <c r="Q18" s="5"/>
      <c r="R18" s="5"/>
      <c r="S18" s="6" t="n">
        <v>-76</v>
      </c>
      <c r="T18" s="6" t="n">
        <v>-80</v>
      </c>
    </row>
    <row r="19">
      <c r="A19" s="4" t="s">
        <v>40</v>
      </c>
      <c r="B19" s="5"/>
      <c r="C19" s="5"/>
      <c r="D19" s="5"/>
      <c r="E19" s="6" t="n">
        <v>23961</v>
      </c>
      <c r="F19" s="5"/>
      <c r="G19" s="5"/>
      <c r="H19" s="5"/>
      <c r="I19" s="6" t="n">
        <v>1484</v>
      </c>
      <c r="J19" s="6" t="n">
        <v>22477</v>
      </c>
      <c r="K19" s="5"/>
      <c r="L19" s="5"/>
      <c r="M19" s="5"/>
      <c r="N19" s="6" t="n">
        <v>31358</v>
      </c>
      <c r="O19" s="6" t="n">
        <v>-7396</v>
      </c>
      <c r="P19" s="5"/>
      <c r="Q19" s="5"/>
      <c r="R19" s="5"/>
      <c r="S19" s="6" t="n">
        <v>14288</v>
      </c>
      <c r="T19" s="6" t="n">
        <v>9673</v>
      </c>
    </row>
    <row r="20">
      <c r="A20" s="4" t="s">
        <v>41</v>
      </c>
      <c r="B20" s="5"/>
      <c r="C20" s="5"/>
      <c r="D20" s="5"/>
      <c r="E20" s="6" t="n">
        <v>-123720</v>
      </c>
      <c r="F20" s="5"/>
      <c r="G20" s="5"/>
      <c r="H20" s="5"/>
      <c r="I20" s="6" t="n">
        <v>26132</v>
      </c>
      <c r="J20" s="6" t="n">
        <v>-149852</v>
      </c>
      <c r="K20" s="5"/>
      <c r="L20" s="5"/>
      <c r="M20" s="5"/>
      <c r="N20" s="6" t="n">
        <v>-223346</v>
      </c>
      <c r="O20" s="6" t="n">
        <v>99626</v>
      </c>
      <c r="P20" s="5"/>
      <c r="Q20" s="5"/>
      <c r="R20" s="5"/>
      <c r="S20" s="6" t="n">
        <v>-200648</v>
      </c>
      <c r="T20" s="6" t="n">
        <v>76928</v>
      </c>
    </row>
    <row r="21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>
      <c r="A22" s="4" t="s">
        <v>42</v>
      </c>
      <c r="B22" s="3" t="s">
        <v>43</v>
      </c>
      <c r="C22" s="3"/>
      <c r="D22" s="3"/>
      <c r="E22" s="3" t="s">
        <v>26</v>
      </c>
      <c r="F22" s="3" t="s">
        <v>44</v>
      </c>
      <c r="G22" s="3"/>
      <c r="H22" s="3"/>
      <c r="I22" s="3" t="s">
        <v>26</v>
      </c>
      <c r="J22" s="3" t="s">
        <v>27</v>
      </c>
      <c r="K22" s="3" t="s">
        <v>44</v>
      </c>
      <c r="L22" s="3"/>
      <c r="M22" s="3"/>
      <c r="N22" s="3" t="s">
        <v>26</v>
      </c>
      <c r="O22" s="3" t="s">
        <v>27</v>
      </c>
      <c r="P22" s="3" t="s">
        <v>44</v>
      </c>
      <c r="Q22" s="3"/>
      <c r="R22" s="3"/>
      <c r="S22" s="3" t="s">
        <v>26</v>
      </c>
      <c r="T22" s="3" t="s">
        <v>27</v>
      </c>
    </row>
    <row r="23">
      <c r="A23" s="4" t="s">
        <v>45</v>
      </c>
      <c r="B23" s="9" t="n">
        <v>9.1</v>
      </c>
      <c r="C23" s="2"/>
      <c r="D23" s="2"/>
      <c r="E23" s="11" t="str">
        <f>435038-SUM(E24:E34)</f>
      </c>
      <c r="F23" s="9" t="n">
        <v>9.25</v>
      </c>
      <c r="G23" s="5"/>
      <c r="H23" s="5"/>
      <c r="I23" s="10" t="str">
        <f>574118-SUM(I24:I34)</f>
      </c>
      <c r="J23" s="10" t="str">
        <f>E23-I23</f>
      </c>
      <c r="K23" s="9" t="n">
        <v>7.49</v>
      </c>
      <c r="L23" s="5"/>
      <c r="M23" s="5"/>
      <c r="N23" s="10" t="str">
        <f>224036-SUM(N24:N34)</f>
      </c>
      <c r="O23" s="10" t="str">
        <f>E23-N23</f>
      </c>
      <c r="P23" s="9" t="n">
        <v>9.37</v>
      </c>
      <c r="Q23" s="5"/>
      <c r="R23" s="5"/>
      <c r="S23" s="10" t="str">
        <f>609253-SUM(S24:S34)</f>
      </c>
      <c r="T23" s="10" t="str">
        <f>E23-S23</f>
      </c>
    </row>
    <row r="24">
      <c r="A24" s="4" t="s">
        <v>46</v>
      </c>
      <c r="B24" s="5"/>
      <c r="C24" s="5"/>
      <c r="D24" s="5"/>
      <c r="E24" s="16" t="n">
        <v>0</v>
      </c>
      <c r="F24" s="5"/>
      <c r="G24" s="5"/>
      <c r="H24" s="5"/>
      <c r="I24" s="16" t="n">
        <v>0</v>
      </c>
      <c r="J24" s="8" t="str">
        <f>E24-I24</f>
      </c>
      <c r="K24" s="5"/>
      <c r="L24" s="5"/>
      <c r="M24" s="5"/>
      <c r="N24" s="16" t="n">
        <v>0</v>
      </c>
      <c r="O24" s="8" t="str">
        <f>E24-N24</f>
      </c>
      <c r="P24" s="5"/>
      <c r="Q24" s="5"/>
      <c r="R24" s="5"/>
      <c r="S24" s="16" t="n">
        <v>0</v>
      </c>
      <c r="T24" s="8" t="str">
        <f>E24-S24</f>
      </c>
    </row>
    <row r="25">
      <c r="A25" s="4" t="s">
        <v>47</v>
      </c>
      <c r="B25" s="5"/>
      <c r="C25" s="5"/>
      <c r="D25" s="5"/>
      <c r="E25" s="16" t="n">
        <v>0</v>
      </c>
      <c r="F25" s="5"/>
      <c r="G25" s="5"/>
      <c r="H25" s="5"/>
      <c r="I25" s="16" t="n">
        <v>0</v>
      </c>
      <c r="J25" s="8" t="str">
        <f>E25-I25</f>
      </c>
      <c r="K25" s="5"/>
      <c r="L25" s="5"/>
      <c r="M25" s="5"/>
      <c r="N25" s="16" t="n">
        <v>0</v>
      </c>
      <c r="O25" s="8" t="str">
        <f>E25-N25</f>
      </c>
      <c r="P25" s="5"/>
      <c r="Q25" s="5"/>
      <c r="R25" s="5"/>
      <c r="S25" s="16" t="n">
        <v>0</v>
      </c>
      <c r="T25" s="8" t="str">
        <f>E25-S25</f>
      </c>
    </row>
    <row r="26">
      <c r="A26" s="4" t="s">
        <v>48</v>
      </c>
      <c r="B26" s="5"/>
      <c r="C26" s="5"/>
      <c r="D26" s="5"/>
      <c r="E26" s="16" t="n">
        <v>0</v>
      </c>
      <c r="F26" s="5"/>
      <c r="G26" s="5"/>
      <c r="H26" s="5"/>
      <c r="I26" s="16" t="n">
        <v>0</v>
      </c>
      <c r="J26" s="8" t="str">
        <f>E26-I26</f>
      </c>
      <c r="K26" s="5"/>
      <c r="L26" s="5"/>
      <c r="M26" s="5"/>
      <c r="N26" s="16" t="n">
        <v>0</v>
      </c>
      <c r="O26" s="8" t="str">
        <f>E26-N26</f>
      </c>
      <c r="P26" s="5"/>
      <c r="Q26" s="5"/>
      <c r="R26" s="5"/>
      <c r="S26" s="16" t="n">
        <v>0</v>
      </c>
      <c r="T26" s="8" t="str">
        <f>E26-S26</f>
      </c>
    </row>
    <row r="27">
      <c r="A27" s="4" t="s">
        <v>49</v>
      </c>
      <c r="B27" s="5"/>
      <c r="C27" s="5"/>
      <c r="D27" s="5"/>
      <c r="E27" s="16" t="n">
        <v>0</v>
      </c>
      <c r="F27" s="5"/>
      <c r="G27" s="5"/>
      <c r="H27" s="5"/>
      <c r="I27" s="16" t="n">
        <v>0</v>
      </c>
      <c r="J27" s="8" t="str">
        <f>E27-I27</f>
      </c>
      <c r="K27" s="5"/>
      <c r="L27" s="5"/>
      <c r="M27" s="5"/>
      <c r="N27" s="16" t="n">
        <v>0</v>
      </c>
      <c r="O27" s="8" t="str">
        <f>E27-N27</f>
      </c>
      <c r="P27" s="5"/>
      <c r="Q27" s="5"/>
      <c r="R27" s="5"/>
      <c r="S27" s="16" t="n">
        <v>0</v>
      </c>
      <c r="T27" s="8" t="str">
        <f>E27-S27</f>
      </c>
    </row>
    <row r="28">
      <c r="A28" s="4" t="s">
        <v>50</v>
      </c>
      <c r="B28" s="5"/>
      <c r="C28" s="5"/>
      <c r="D28" s="5"/>
      <c r="E28" s="16" t="n">
        <v>0</v>
      </c>
      <c r="F28" s="5"/>
      <c r="G28" s="5"/>
      <c r="H28" s="5"/>
      <c r="I28" s="16" t="n">
        <v>0</v>
      </c>
      <c r="J28" s="8" t="str">
        <f>E28-I28</f>
      </c>
      <c r="K28" s="5"/>
      <c r="L28" s="5"/>
      <c r="M28" s="5"/>
      <c r="N28" s="16" t="n">
        <v>0</v>
      </c>
      <c r="O28" s="8" t="str">
        <f>E28-N28</f>
      </c>
      <c r="P28" s="5"/>
      <c r="Q28" s="5"/>
      <c r="R28" s="5"/>
      <c r="S28" s="16" t="n">
        <v>0</v>
      </c>
      <c r="T28" s="8" t="str">
        <f>E28-S28</f>
      </c>
    </row>
    <row r="29">
      <c r="A29" s="4"/>
      <c r="B29" s="5"/>
      <c r="C29" s="5"/>
      <c r="D29" s="5"/>
      <c r="E29" s="16" t="n">
        <v>0</v>
      </c>
      <c r="F29" s="5"/>
      <c r="G29" s="5"/>
      <c r="H29" s="5"/>
      <c r="I29" s="16" t="n">
        <v>0</v>
      </c>
      <c r="J29" s="8" t="str">
        <f>E29-I29</f>
      </c>
      <c r="K29" s="5"/>
      <c r="L29" s="5"/>
      <c r="M29" s="5"/>
      <c r="N29" s="16" t="n">
        <v>0</v>
      </c>
      <c r="O29" s="8" t="str">
        <f>E29-N29</f>
      </c>
      <c r="P29" s="5"/>
      <c r="Q29" s="5"/>
      <c r="R29" s="5"/>
      <c r="S29" s="16" t="n">
        <v>0</v>
      </c>
      <c r="T29" s="8" t="str">
        <f>E29-S29</f>
      </c>
    </row>
    <row r="30">
      <c r="A30" s="4"/>
      <c r="B30" s="5"/>
      <c r="C30" s="5"/>
      <c r="D30" s="5"/>
      <c r="E30" s="16" t="n">
        <v>0</v>
      </c>
      <c r="F30" s="5"/>
      <c r="G30" s="5"/>
      <c r="H30" s="5"/>
      <c r="I30" s="16" t="n">
        <v>0</v>
      </c>
      <c r="J30" s="8" t="str">
        <f>E30-I30</f>
      </c>
      <c r="K30" s="5"/>
      <c r="L30" s="5"/>
      <c r="M30" s="5"/>
      <c r="N30" s="16" t="n">
        <v>0</v>
      </c>
      <c r="O30" s="8" t="str">
        <f>E30-N30</f>
      </c>
      <c r="P30" s="5"/>
      <c r="Q30" s="5"/>
      <c r="R30" s="5"/>
      <c r="S30" s="16" t="n">
        <v>0</v>
      </c>
      <c r="T30" s="8" t="str">
        <f>E30-S30</f>
      </c>
    </row>
    <row r="31">
      <c r="A31" s="4"/>
      <c r="B31" s="5"/>
      <c r="C31" s="5"/>
      <c r="D31" s="5"/>
      <c r="E31" s="16" t="n">
        <v>0</v>
      </c>
      <c r="F31" s="5"/>
      <c r="G31" s="5"/>
      <c r="H31" s="5"/>
      <c r="I31" s="16" t="n">
        <v>0</v>
      </c>
      <c r="J31" s="8" t="str">
        <f>E31-I31</f>
      </c>
      <c r="K31" s="5"/>
      <c r="L31" s="5"/>
      <c r="M31" s="5"/>
      <c r="N31" s="16" t="n">
        <v>0</v>
      </c>
      <c r="O31" s="8" t="str">
        <f>E31-N31</f>
      </c>
      <c r="P31" s="5"/>
      <c r="Q31" s="5"/>
      <c r="R31" s="5"/>
      <c r="S31" s="16" t="n">
        <v>0</v>
      </c>
      <c r="T31" s="8" t="str">
        <f>E31-S31</f>
      </c>
    </row>
    <row r="32">
      <c r="A32" s="4"/>
      <c r="B32" s="5"/>
      <c r="C32" s="5"/>
      <c r="D32" s="5"/>
      <c r="E32" s="16" t="n">
        <v>0</v>
      </c>
      <c r="F32" s="5"/>
      <c r="G32" s="5"/>
      <c r="H32" s="5"/>
      <c r="I32" s="16" t="n">
        <v>0</v>
      </c>
      <c r="J32" s="8" t="str">
        <f>E32-I32</f>
      </c>
      <c r="K32" s="5"/>
      <c r="L32" s="5"/>
      <c r="M32" s="5"/>
      <c r="N32" s="16" t="n">
        <v>0</v>
      </c>
      <c r="O32" s="8" t="str">
        <f>E32-N32</f>
      </c>
      <c r="P32" s="5"/>
      <c r="Q32" s="5"/>
      <c r="R32" s="5"/>
      <c r="S32" s="16" t="n">
        <v>0</v>
      </c>
      <c r="T32" s="8" t="str">
        <f>E32-S32</f>
      </c>
    </row>
    <row r="33">
      <c r="A33" s="4"/>
      <c r="B33" s="5"/>
      <c r="C33" s="5"/>
      <c r="D33" s="5"/>
      <c r="E33" s="16" t="n">
        <v>0</v>
      </c>
      <c r="F33" s="5"/>
      <c r="G33" s="5"/>
      <c r="H33" s="5"/>
      <c r="I33" s="16" t="n">
        <v>0</v>
      </c>
      <c r="J33" s="8" t="str">
        <f>E33-I33</f>
      </c>
      <c r="K33" s="5"/>
      <c r="L33" s="5"/>
      <c r="M33" s="5"/>
      <c r="N33" s="16" t="n">
        <v>0</v>
      </c>
      <c r="O33" s="8" t="str">
        <f>E33-N33</f>
      </c>
      <c r="P33" s="5"/>
      <c r="Q33" s="5"/>
      <c r="R33" s="5"/>
      <c r="S33" s="16" t="n">
        <v>0</v>
      </c>
      <c r="T33" s="8" t="str">
        <f>E33-S33</f>
      </c>
    </row>
    <row r="34">
      <c r="A34" s="4"/>
      <c r="B34" s="5"/>
      <c r="C34" s="5"/>
      <c r="D34" s="5"/>
      <c r="E34" s="16" t="n">
        <v>0</v>
      </c>
      <c r="F34" s="5"/>
      <c r="G34" s="5"/>
      <c r="H34" s="5"/>
      <c r="I34" s="16" t="n">
        <v>0</v>
      </c>
      <c r="J34" s="8" t="str">
        <f>E34-I34</f>
      </c>
      <c r="K34" s="5"/>
      <c r="L34" s="5"/>
      <c r="M34" s="5"/>
      <c r="N34" s="16" t="n">
        <v>0</v>
      </c>
      <c r="O34" s="8" t="str">
        <f>E34-N34</f>
      </c>
      <c r="P34" s="5"/>
      <c r="Q34" s="5"/>
      <c r="R34" s="5"/>
      <c r="S34" s="16" t="n">
        <v>0</v>
      </c>
      <c r="T34" s="8" t="str">
        <f>E34-S34</f>
      </c>
    </row>
    <row r="35">
      <c r="A35" s="4" t="s">
        <v>51</v>
      </c>
      <c r="B35" s="5"/>
      <c r="C35" s="5"/>
      <c r="D35" s="5"/>
      <c r="E35" s="6" t="n">
        <v>2576602</v>
      </c>
      <c r="F35" s="5"/>
      <c r="G35" s="5"/>
      <c r="H35" s="5"/>
      <c r="I35" s="5"/>
      <c r="J35" s="6" t="n">
        <v>-698358</v>
      </c>
      <c r="K35" s="5"/>
      <c r="L35" s="5"/>
      <c r="M35" s="5"/>
      <c r="N35" s="5"/>
      <c r="O35" s="6" t="n">
        <v>444642</v>
      </c>
      <c r="P35" s="5"/>
      <c r="Q35" s="5"/>
      <c r="R35" s="5"/>
      <c r="S35" s="5"/>
      <c r="T35" s="6" t="n">
        <v>-160358</v>
      </c>
    </row>
    <row r="36">
      <c r="A36" s="4" t="s">
        <v>52</v>
      </c>
      <c r="B36" s="5"/>
      <c r="C36" s="5"/>
      <c r="D36" s="5"/>
      <c r="E36" s="5"/>
      <c r="F36" s="5"/>
      <c r="G36" s="5"/>
      <c r="H36" s="5"/>
      <c r="I36" s="5"/>
      <c r="J36" s="12" t="n">
        <v>-0.188</v>
      </c>
      <c r="K36" s="5"/>
      <c r="L36" s="5"/>
      <c r="M36" s="5"/>
      <c r="N36" s="5"/>
      <c r="O36" s="12" t="n">
        <v>0.173</v>
      </c>
      <c r="P36" s="5"/>
      <c r="Q36" s="5"/>
      <c r="R36" s="5"/>
      <c r="S36" s="5"/>
      <c r="T36" s="12" t="n">
        <v>-0.051</v>
      </c>
    </row>
    <row r="37">
      <c r="A37" s="4" t="s">
        <v>53</v>
      </c>
      <c r="B37" s="5"/>
      <c r="C37" s="5"/>
      <c r="D37" s="5"/>
      <c r="E37" s="5"/>
      <c r="F37" s="5"/>
      <c r="G37" s="5"/>
      <c r="H37" s="5"/>
      <c r="I37" s="5"/>
      <c r="J37" s="12" t="n">
        <v>0.226</v>
      </c>
      <c r="K37" s="5"/>
      <c r="L37" s="5"/>
      <c r="M37" s="5"/>
      <c r="N37" s="5"/>
      <c r="O37" s="12" t="n">
        <v>0.245</v>
      </c>
      <c r="P37" s="5"/>
      <c r="Q37" s="5"/>
      <c r="R37" s="5"/>
      <c r="S37" s="5"/>
      <c r="T37" s="12" t="n">
        <v>0.247</v>
      </c>
    </row>
    <row r="38">
      <c r="A38" s="14" t="s">
        <v>54</v>
      </c>
      <c r="B38" s="13" t="str">
        <f>SUM(E7:E34)</f>
      </c>
      <c r="C38" s="13"/>
      <c r="D38" s="13"/>
      <c r="E38" s="13"/>
      <c r="F38" s="13" t="str">
        <f>H5+SUM(J9:J34)</f>
      </c>
      <c r="G38" s="13"/>
      <c r="H38" s="13"/>
      <c r="I38" s="13"/>
      <c r="J38" s="13"/>
      <c r="K38" s="13" t="str">
        <f>M5+SUM(O9:O34)</f>
      </c>
      <c r="L38" s="13"/>
      <c r="M38" s="13"/>
      <c r="N38" s="13"/>
      <c r="O38" s="13"/>
      <c r="P38" s="13" t="str">
        <f>R5+SUM(T9:T34)</f>
      </c>
      <c r="Q38" s="13"/>
      <c r="R38" s="13"/>
      <c r="S38" s="13"/>
      <c r="T38" s="13"/>
    </row>
    <row r="39">
      <c r="A39" s="15" t="s">
        <v>55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</row>
  </sheetData>
  <sheetProtection formatCells="0" formatColumns="0" insertColumns="1" insertRows="1" deleteColumns="1" deleteRows="1" sheet="1"/>
  <mergeCells count="50">
    <mergeCell ref="A1:T1"/>
    <mergeCell ref="B2:E2"/>
    <mergeCell ref="F2:J2"/>
    <mergeCell ref="K2:O2"/>
    <mergeCell ref="P2:T2"/>
    <mergeCell ref="B3:E3"/>
    <mergeCell ref="F3:J3"/>
    <mergeCell ref="K3:O3"/>
    <mergeCell ref="P3:T3"/>
    <mergeCell ref="B4:C4"/>
    <mergeCell ref="I4:J4"/>
    <mergeCell ref="N4:O4"/>
    <mergeCell ref="S4:T4"/>
    <mergeCell ref="D5:E5"/>
    <mergeCell ref="H5:J5"/>
    <mergeCell ref="M5:O5"/>
    <mergeCell ref="R5:T5"/>
    <mergeCell ref="B6:C6"/>
    <mergeCell ref="F6:H6"/>
    <mergeCell ref="K6:M6"/>
    <mergeCell ref="P6:R6"/>
    <mergeCell ref="B12:D12"/>
    <mergeCell ref="F12:H12"/>
    <mergeCell ref="K12:M12"/>
    <mergeCell ref="P12:R12"/>
    <mergeCell ref="B13:D13"/>
    <mergeCell ref="F13:H13"/>
    <mergeCell ref="K13:M13"/>
    <mergeCell ref="P13:R13"/>
    <mergeCell ref="B14:D14"/>
    <mergeCell ref="F14:H14"/>
    <mergeCell ref="K14:M14"/>
    <mergeCell ref="P14:R14"/>
    <mergeCell ref="B15:D15"/>
    <mergeCell ref="F15:H15"/>
    <mergeCell ref="K15:M15"/>
    <mergeCell ref="P15:R15"/>
    <mergeCell ref="B16:D16"/>
    <mergeCell ref="F16:H16"/>
    <mergeCell ref="K16:M16"/>
    <mergeCell ref="P16:R16"/>
    <mergeCell ref="B22:C22"/>
    <mergeCell ref="F22:H22"/>
    <mergeCell ref="K22:M22"/>
    <mergeCell ref="P22:R22"/>
    <mergeCell ref="B38:E38"/>
    <mergeCell ref="F38:J38"/>
    <mergeCell ref="K38:O38"/>
    <mergeCell ref="P38:T38"/>
    <mergeCell ref="A39:T39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9.71" hidden="0" customWidth="1"/>
    <col min="2" max="2" width="11.71" hidden="0" customWidth="1"/>
    <col min="3" max="3" width="8.71" hidden="0" customWidth="1"/>
    <col min="4" max="4" width="4.71" hidden="0" customWidth="1"/>
    <col min="5" max="5" width="12.71" hidden="0" customWidth="1"/>
    <col min="6" max="6" width="11.71" hidden="0" customWidth="1"/>
    <col min="7" max="7" width="8.71" hidden="0" customWidth="1"/>
    <col min="8" max="8" width="7.71" hidden="0" customWidth="1"/>
    <col min="9" max="9" width="12.71" hidden="0" customWidth="1"/>
    <col min="10" max="10" width="11.71" hidden="0" customWidth="1"/>
    <col min="11" max="11" width="11.71" hidden="0" customWidth="1"/>
    <col min="12" max="12" width="8.71" hidden="0" customWidth="1"/>
    <col min="13" max="13" width="7.71" hidden="0" customWidth="1"/>
    <col min="14" max="14" width="12.71" hidden="0" customWidth="1"/>
    <col min="15" max="15" width="11.71" hidden="0" customWidth="1"/>
    <col min="16" max="16" width="11.71" hidden="0" customWidth="1"/>
    <col min="17" max="17" width="8.71" hidden="0" customWidth="1"/>
    <col min="18" max="18" width="7.71" hidden="0" customWidth="1"/>
    <col min="19" max="19" width="12.71" hidden="0" customWidth="1"/>
    <col min="20" max="20" width="11.71" hidden="0" customWidth="1"/>
  </cols>
  <sheetData>
    <row r="1">
      <c r="A1" s="1" t="s">
        <v>119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2"/>
      <c r="B2" s="2" t="s">
        <v>1</v>
      </c>
      <c r="C2" s="2"/>
      <c r="D2" s="2"/>
      <c r="E2" s="2"/>
      <c r="F2" s="2" t="s">
        <v>120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>
      <c r="A3" s="4" t="s">
        <v>5</v>
      </c>
      <c r="B3" s="3" t="s">
        <v>6</v>
      </c>
      <c r="C3" s="3"/>
      <c r="D3" s="3"/>
      <c r="E3" s="3"/>
      <c r="F3" s="3" t="s">
        <v>121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>
      <c r="A4" s="4" t="s">
        <v>10</v>
      </c>
      <c r="B4" s="5" t="s">
        <v>11</v>
      </c>
      <c r="C4" s="5"/>
      <c r="D4" s="5" t="n">
        <v>6</v>
      </c>
      <c r="E4" s="5" t="s">
        <v>12</v>
      </c>
      <c r="F4" s="5" t="s">
        <v>122</v>
      </c>
      <c r="G4" s="5" t="s">
        <v>123</v>
      </c>
      <c r="H4" s="5" t="n">
        <v>27</v>
      </c>
      <c r="I4" s="5" t="s">
        <v>124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4" t="s">
        <v>22</v>
      </c>
      <c r="B5" s="5" t="s">
        <v>23</v>
      </c>
      <c r="C5" s="6" t="n">
        <v>0</v>
      </c>
      <c r="D5" s="5" t="s">
        <v>23</v>
      </c>
      <c r="E5" s="5"/>
      <c r="F5" s="6" t="n">
        <v>2456000</v>
      </c>
      <c r="G5" s="6" t="n">
        <v>0</v>
      </c>
      <c r="H5" s="6" t="str">
        <f>F5-G5</f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4" t="s">
        <v>24</v>
      </c>
      <c r="B6" s="3" t="s">
        <v>25</v>
      </c>
      <c r="C6" s="3"/>
      <c r="D6" s="3"/>
      <c r="E6" s="3" t="s">
        <v>26</v>
      </c>
      <c r="F6" s="3" t="s">
        <v>25</v>
      </c>
      <c r="G6" s="3"/>
      <c r="H6" s="3"/>
      <c r="I6" s="3" t="s">
        <v>26</v>
      </c>
      <c r="J6" s="3" t="s">
        <v>27</v>
      </c>
      <c r="K6" s="3"/>
      <c r="L6" s="3"/>
      <c r="M6" s="3"/>
      <c r="N6" s="3"/>
      <c r="O6" s="3"/>
      <c r="P6" s="3"/>
      <c r="Q6" s="3"/>
      <c r="R6" s="3"/>
      <c r="S6" s="3"/>
      <c r="T6" s="3"/>
    </row>
    <row r="7">
      <c r="A7" s="4" t="s">
        <v>28</v>
      </c>
      <c r="B7" s="5"/>
      <c r="C7" s="5"/>
      <c r="D7" s="5"/>
      <c r="E7" s="6" t="n">
        <v>-4456942</v>
      </c>
      <c r="F7" s="5"/>
      <c r="G7" s="5"/>
      <c r="H7" s="5"/>
      <c r="I7" s="6" t="n">
        <v>-4456942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4" t="s">
        <v>29</v>
      </c>
      <c r="B8" s="5"/>
      <c r="C8" s="5" t="n">
        <v>13</v>
      </c>
      <c r="D8" s="5" t="n">
        <v>6</v>
      </c>
      <c r="E8" s="5"/>
      <c r="F8" s="5"/>
      <c r="G8" s="5" t="n">
        <v>55</v>
      </c>
      <c r="H8" s="5" t="n">
        <v>27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>
      <c r="A9" s="4" t="s">
        <v>30</v>
      </c>
      <c r="B9" s="5" t="n">
        <v>-121.45</v>
      </c>
      <c r="C9" s="5" t="n">
        <v>37.72</v>
      </c>
      <c r="D9" s="5" t="n">
        <v>466</v>
      </c>
      <c r="E9" s="7" t="n">
        <v>7138065</v>
      </c>
      <c r="F9" s="5" t="n">
        <v>-121.444</v>
      </c>
      <c r="G9" s="5" t="n">
        <v>37.72</v>
      </c>
      <c r="H9" s="5" t="n">
        <v>465</v>
      </c>
      <c r="I9" s="7" t="n">
        <v>6952648</v>
      </c>
      <c r="J9" s="8" t="n">
        <v>185417</v>
      </c>
      <c r="K9" s="5"/>
      <c r="L9" s="5"/>
      <c r="M9" s="5"/>
      <c r="N9" s="5"/>
      <c r="O9" s="5"/>
      <c r="P9" s="5"/>
      <c r="Q9" s="5"/>
      <c r="R9" s="5"/>
      <c r="S9" s="5"/>
      <c r="T9" s="5"/>
    </row>
    <row r="10">
      <c r="A10" s="4" t="s">
        <v>31</v>
      </c>
      <c r="B10" s="5" t="n">
        <v>5984</v>
      </c>
      <c r="C10" s="5"/>
      <c r="D10" s="5"/>
      <c r="E10" s="7" t="n">
        <v>42684</v>
      </c>
      <c r="F10" s="5" t="n">
        <v>5767</v>
      </c>
      <c r="G10" s="5"/>
      <c r="H10" s="5"/>
      <c r="I10" s="7" t="n">
        <v>41137</v>
      </c>
      <c r="J10" s="8" t="n">
        <v>1547</v>
      </c>
      <c r="K10" s="5"/>
      <c r="L10" s="5"/>
      <c r="M10" s="5"/>
      <c r="N10" s="5"/>
      <c r="O10" s="5"/>
      <c r="P10" s="5"/>
      <c r="Q10" s="5"/>
      <c r="R10" s="5"/>
      <c r="S10" s="5"/>
      <c r="T10" s="5"/>
    </row>
    <row r="11">
      <c r="A11" s="4" t="s">
        <v>32</v>
      </c>
      <c r="B11" s="5" t="n">
        <v>78</v>
      </c>
      <c r="C11" s="5"/>
      <c r="D11" s="5"/>
      <c r="E11" s="7" t="n">
        <v>65436</v>
      </c>
      <c r="F11" s="5" t="n">
        <v>102</v>
      </c>
      <c r="G11" s="5"/>
      <c r="H11" s="5"/>
      <c r="I11" s="7" t="n">
        <v>78455</v>
      </c>
      <c r="J11" s="8" t="n">
        <v>-13019</v>
      </c>
      <c r="K11" s="5"/>
      <c r="L11" s="5"/>
      <c r="M11" s="5"/>
      <c r="N11" s="5"/>
      <c r="O11" s="5"/>
      <c r="P11" s="5"/>
      <c r="Q11" s="5"/>
      <c r="R11" s="5"/>
      <c r="S11" s="5"/>
      <c r="T11" s="5"/>
    </row>
    <row r="12">
      <c r="A12" s="4" t="s">
        <v>33</v>
      </c>
      <c r="B12" s="5" t="n">
        <v>13</v>
      </c>
      <c r="C12" s="5"/>
      <c r="D12" s="5"/>
      <c r="E12" s="6" t="n">
        <v>149278</v>
      </c>
      <c r="F12" s="5" t="n">
        <v>55</v>
      </c>
      <c r="G12" s="5"/>
      <c r="H12" s="5"/>
      <c r="I12" s="6" t="n">
        <v>148754</v>
      </c>
      <c r="J12" s="6" t="n">
        <v>524</v>
      </c>
      <c r="K12" s="5"/>
      <c r="L12" s="5"/>
      <c r="M12" s="5"/>
      <c r="N12" s="5"/>
      <c r="O12" s="5"/>
      <c r="P12" s="5"/>
      <c r="Q12" s="5"/>
      <c r="R12" s="5"/>
      <c r="S12" s="5"/>
      <c r="T12" s="5"/>
    </row>
    <row r="13">
      <c r="A13" s="4" t="s">
        <v>34</v>
      </c>
      <c r="B13" s="5" t="n">
        <v>1764</v>
      </c>
      <c r="C13" s="5"/>
      <c r="D13" s="5"/>
      <c r="E13" s="6" t="n">
        <v>-200962</v>
      </c>
      <c r="F13" s="5" t="n">
        <v>1717</v>
      </c>
      <c r="G13" s="5"/>
      <c r="H13" s="5"/>
      <c r="I13" s="6" t="n">
        <v>-238709</v>
      </c>
      <c r="J13" s="6" t="n">
        <v>37748</v>
      </c>
      <c r="K13" s="5"/>
      <c r="L13" s="5"/>
      <c r="M13" s="5"/>
      <c r="N13" s="5"/>
      <c r="O13" s="5"/>
      <c r="P13" s="5"/>
      <c r="Q13" s="5"/>
      <c r="R13" s="5"/>
      <c r="S13" s="5"/>
      <c r="T13" s="5"/>
    </row>
    <row r="14">
      <c r="A14" s="4" t="s">
        <v>35</v>
      </c>
      <c r="B14" s="5" t="n">
        <v>3</v>
      </c>
      <c r="C14" s="5"/>
      <c r="D14" s="5"/>
      <c r="E14" s="6" t="n">
        <v>65531</v>
      </c>
      <c r="F14" s="5" t="n">
        <v>3</v>
      </c>
      <c r="G14" s="5"/>
      <c r="H14" s="5"/>
      <c r="I14" s="6" t="n">
        <v>65531</v>
      </c>
      <c r="J14" s="6" t="n">
        <v>0</v>
      </c>
      <c r="K14" s="5"/>
      <c r="L14" s="5"/>
      <c r="M14" s="5"/>
      <c r="N14" s="5"/>
      <c r="O14" s="5"/>
      <c r="P14" s="5"/>
      <c r="Q14" s="5"/>
      <c r="R14" s="5"/>
      <c r="S14" s="5"/>
      <c r="T14" s="5"/>
    </row>
    <row r="15">
      <c r="A15" s="4" t="s">
        <v>36</v>
      </c>
      <c r="B15" s="5" t="n">
        <v>2</v>
      </c>
      <c r="C15" s="5"/>
      <c r="D15" s="5"/>
      <c r="E15" s="6" t="n">
        <v>-54226</v>
      </c>
      <c r="F15" s="5" t="n">
        <v>2</v>
      </c>
      <c r="G15" s="5"/>
      <c r="H15" s="5"/>
      <c r="I15" s="6" t="n">
        <v>-54226</v>
      </c>
      <c r="J15" s="6" t="n">
        <v>0</v>
      </c>
      <c r="K15" s="5"/>
      <c r="L15" s="5"/>
      <c r="M15" s="5"/>
      <c r="N15" s="5"/>
      <c r="O15" s="5"/>
      <c r="P15" s="5"/>
      <c r="Q15" s="5"/>
      <c r="R15" s="5"/>
      <c r="S15" s="5"/>
      <c r="T15" s="5"/>
    </row>
    <row r="16">
      <c r="A16" s="4" t="s">
        <v>37</v>
      </c>
      <c r="B16" s="5" t="n">
        <v>1</v>
      </c>
      <c r="C16" s="5"/>
      <c r="D16" s="5"/>
      <c r="E16" s="6" t="n">
        <v>4969</v>
      </c>
      <c r="F16" s="5" t="n">
        <v>2</v>
      </c>
      <c r="G16" s="5"/>
      <c r="H16" s="5"/>
      <c r="I16" s="6" t="n">
        <v>14727</v>
      </c>
      <c r="J16" s="6" t="n">
        <v>-9758</v>
      </c>
      <c r="K16" s="5"/>
      <c r="L16" s="5"/>
      <c r="M16" s="5"/>
      <c r="N16" s="5"/>
      <c r="O16" s="5"/>
      <c r="P16" s="5"/>
      <c r="Q16" s="5"/>
      <c r="R16" s="5"/>
      <c r="S16" s="5"/>
      <c r="T16" s="5"/>
    </row>
    <row r="17">
      <c r="A17" s="4" t="s">
        <v>38</v>
      </c>
      <c r="B17" s="5"/>
      <c r="C17" s="5"/>
      <c r="D17" s="5"/>
      <c r="E17" s="6" t="n">
        <v>-77316</v>
      </c>
      <c r="F17" s="5"/>
      <c r="G17" s="5"/>
      <c r="H17" s="5"/>
      <c r="I17" s="6" t="n">
        <v>-78425</v>
      </c>
      <c r="J17" s="6" t="n">
        <v>1109</v>
      </c>
      <c r="K17" s="5"/>
      <c r="L17" s="5"/>
      <c r="M17" s="5"/>
      <c r="N17" s="5"/>
      <c r="O17" s="5"/>
      <c r="P17" s="5"/>
      <c r="Q17" s="5"/>
      <c r="R17" s="5"/>
      <c r="S17" s="5"/>
      <c r="T17" s="5"/>
    </row>
    <row r="18">
      <c r="A18" s="4" t="s">
        <v>39</v>
      </c>
      <c r="B18" s="5"/>
      <c r="C18" s="5"/>
      <c r="D18" s="5"/>
      <c r="E18" s="6" t="n">
        <v>-156</v>
      </c>
      <c r="F18" s="5"/>
      <c r="G18" s="5"/>
      <c r="H18" s="5"/>
      <c r="I18" s="6" t="n">
        <v>-184</v>
      </c>
      <c r="J18" s="6" t="n">
        <v>28</v>
      </c>
      <c r="K18" s="5"/>
      <c r="L18" s="5"/>
      <c r="M18" s="5"/>
      <c r="N18" s="5"/>
      <c r="O18" s="5"/>
      <c r="P18" s="5"/>
      <c r="Q18" s="5"/>
      <c r="R18" s="5"/>
      <c r="S18" s="5"/>
      <c r="T18" s="5"/>
    </row>
    <row r="19">
      <c r="A19" s="4" t="s">
        <v>40</v>
      </c>
      <c r="B19" s="5"/>
      <c r="C19" s="5"/>
      <c r="D19" s="5"/>
      <c r="E19" s="6" t="n">
        <v>23961</v>
      </c>
      <c r="F19" s="5"/>
      <c r="G19" s="5"/>
      <c r="H19" s="5"/>
      <c r="I19" s="6" t="n">
        <v>27304</v>
      </c>
      <c r="J19" s="6" t="n">
        <v>-3343</v>
      </c>
      <c r="K19" s="5"/>
      <c r="L19" s="5"/>
      <c r="M19" s="5"/>
      <c r="N19" s="5"/>
      <c r="O19" s="5"/>
      <c r="P19" s="5"/>
      <c r="Q19" s="5"/>
      <c r="R19" s="5"/>
      <c r="S19" s="5"/>
      <c r="T19" s="5"/>
    </row>
    <row r="20">
      <c r="A20" s="4" t="s">
        <v>41</v>
      </c>
      <c r="B20" s="5"/>
      <c r="C20" s="5"/>
      <c r="D20" s="5"/>
      <c r="E20" s="6" t="n">
        <v>-123720</v>
      </c>
      <c r="F20" s="5"/>
      <c r="G20" s="5"/>
      <c r="H20" s="5"/>
      <c r="I20" s="6" t="n">
        <v>-125915</v>
      </c>
      <c r="J20" s="6" t="n">
        <v>2194</v>
      </c>
      <c r="K20" s="5"/>
      <c r="L20" s="5"/>
      <c r="M20" s="5"/>
      <c r="N20" s="5"/>
      <c r="O20" s="5"/>
      <c r="P20" s="5"/>
      <c r="Q20" s="5"/>
      <c r="R20" s="5"/>
      <c r="S20" s="5"/>
      <c r="T20" s="5"/>
    </row>
    <row r="21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>
      <c r="A22" s="4" t="s">
        <v>42</v>
      </c>
      <c r="B22" s="3" t="s">
        <v>43</v>
      </c>
      <c r="C22" s="3"/>
      <c r="D22" s="3"/>
      <c r="E22" s="3" t="s">
        <v>26</v>
      </c>
      <c r="F22" s="3" t="s">
        <v>44</v>
      </c>
      <c r="G22" s="3"/>
      <c r="H22" s="3"/>
      <c r="I22" s="3" t="s">
        <v>26</v>
      </c>
      <c r="J22" s="3" t="s">
        <v>27</v>
      </c>
      <c r="K22" s="3"/>
      <c r="L22" s="3"/>
      <c r="M22" s="3"/>
      <c r="N22" s="3"/>
      <c r="O22" s="3"/>
      <c r="P22" s="3"/>
      <c r="Q22" s="3"/>
      <c r="R22" s="3"/>
      <c r="S22" s="3"/>
      <c r="T22" s="3"/>
    </row>
    <row r="23">
      <c r="A23" s="4" t="s">
        <v>45</v>
      </c>
      <c r="B23" s="9" t="n">
        <v>9.1</v>
      </c>
      <c r="C23" s="2"/>
      <c r="D23" s="2"/>
      <c r="E23" s="11" t="str">
        <f>435038-SUM(E24:E34)</f>
      </c>
      <c r="F23" s="9" t="n">
        <v>6.13</v>
      </c>
      <c r="G23" s="5"/>
      <c r="H23" s="5"/>
      <c r="I23" s="10" t="str">
        <f>81845-SUM(I24:I34)</f>
      </c>
      <c r="J23" s="10" t="str">
        <f>E23-I23</f>
      </c>
      <c r="K23" s="5"/>
      <c r="L23" s="5"/>
      <c r="M23" s="5"/>
      <c r="N23" s="5"/>
      <c r="O23" s="5"/>
      <c r="P23" s="5"/>
      <c r="Q23" s="5"/>
      <c r="R23" s="5"/>
      <c r="S23" s="5"/>
      <c r="T23" s="5"/>
    </row>
    <row r="24">
      <c r="A24" s="4" t="s">
        <v>46</v>
      </c>
      <c r="B24" s="5"/>
      <c r="C24" s="5"/>
      <c r="D24" s="5"/>
      <c r="E24" s="16" t="n">
        <v>0</v>
      </c>
      <c r="F24" s="5"/>
      <c r="G24" s="5"/>
      <c r="H24" s="5"/>
      <c r="I24" s="16" t="n">
        <v>0</v>
      </c>
      <c r="J24" s="8" t="str">
        <f>E24-I24</f>
      </c>
      <c r="K24" s="5"/>
      <c r="L24" s="5"/>
      <c r="M24" s="5"/>
      <c r="N24" s="5"/>
      <c r="O24" s="5"/>
      <c r="P24" s="5"/>
      <c r="Q24" s="5"/>
      <c r="R24" s="5"/>
      <c r="S24" s="5"/>
      <c r="T24" s="5"/>
    </row>
    <row r="25">
      <c r="A25" s="4" t="s">
        <v>47</v>
      </c>
      <c r="B25" s="5"/>
      <c r="C25" s="5"/>
      <c r="D25" s="5"/>
      <c r="E25" s="16" t="n">
        <v>0</v>
      </c>
      <c r="F25" s="5"/>
      <c r="G25" s="5"/>
      <c r="H25" s="5"/>
      <c r="I25" s="16" t="n">
        <v>0</v>
      </c>
      <c r="J25" s="8" t="str">
        <f>E25-I25</f>
      </c>
      <c r="K25" s="5"/>
      <c r="L25" s="5"/>
      <c r="M25" s="5"/>
      <c r="N25" s="5"/>
      <c r="O25" s="5"/>
      <c r="P25" s="5"/>
      <c r="Q25" s="5"/>
      <c r="R25" s="5"/>
      <c r="S25" s="5"/>
      <c r="T25" s="5"/>
    </row>
    <row r="26">
      <c r="A26" s="4" t="s">
        <v>48</v>
      </c>
      <c r="B26" s="5"/>
      <c r="C26" s="5"/>
      <c r="D26" s="5"/>
      <c r="E26" s="16" t="n">
        <v>0</v>
      </c>
      <c r="F26" s="5"/>
      <c r="G26" s="5"/>
      <c r="H26" s="5"/>
      <c r="I26" s="16" t="n">
        <v>0</v>
      </c>
      <c r="J26" s="8" t="str">
        <f>E26-I26</f>
      </c>
      <c r="K26" s="5"/>
      <c r="L26" s="5"/>
      <c r="M26" s="5"/>
      <c r="N26" s="5"/>
      <c r="O26" s="5"/>
      <c r="P26" s="5"/>
      <c r="Q26" s="5"/>
      <c r="R26" s="5"/>
      <c r="S26" s="5"/>
      <c r="T26" s="5"/>
    </row>
    <row r="27">
      <c r="A27" s="4" t="s">
        <v>49</v>
      </c>
      <c r="B27" s="5"/>
      <c r="C27" s="5"/>
      <c r="D27" s="5"/>
      <c r="E27" s="16" t="n">
        <v>0</v>
      </c>
      <c r="F27" s="5"/>
      <c r="G27" s="5"/>
      <c r="H27" s="5"/>
      <c r="I27" s="16" t="n">
        <v>0</v>
      </c>
      <c r="J27" s="8" t="str">
        <f>E27-I27</f>
      </c>
      <c r="K27" s="5"/>
      <c r="L27" s="5"/>
      <c r="M27" s="5"/>
      <c r="N27" s="5"/>
      <c r="O27" s="5"/>
      <c r="P27" s="5"/>
      <c r="Q27" s="5"/>
      <c r="R27" s="5"/>
      <c r="S27" s="5"/>
      <c r="T27" s="5"/>
    </row>
    <row r="28">
      <c r="A28" s="4" t="s">
        <v>50</v>
      </c>
      <c r="B28" s="5"/>
      <c r="C28" s="5"/>
      <c r="D28" s="5"/>
      <c r="E28" s="16" t="n">
        <v>0</v>
      </c>
      <c r="F28" s="5"/>
      <c r="G28" s="5"/>
      <c r="H28" s="5"/>
      <c r="I28" s="16" t="n">
        <v>0</v>
      </c>
      <c r="J28" s="8" t="str">
        <f>E28-I28</f>
      </c>
      <c r="K28" s="5"/>
      <c r="L28" s="5"/>
      <c r="M28" s="5"/>
      <c r="N28" s="5"/>
      <c r="O28" s="5"/>
      <c r="P28" s="5"/>
      <c r="Q28" s="5"/>
      <c r="R28" s="5"/>
      <c r="S28" s="5"/>
      <c r="T28" s="5"/>
    </row>
    <row r="29">
      <c r="A29" s="4"/>
      <c r="B29" s="5"/>
      <c r="C29" s="5"/>
      <c r="D29" s="5"/>
      <c r="E29" s="16" t="n">
        <v>0</v>
      </c>
      <c r="F29" s="5"/>
      <c r="G29" s="5"/>
      <c r="H29" s="5"/>
      <c r="I29" s="16" t="n">
        <v>0</v>
      </c>
      <c r="J29" s="8" t="str">
        <f>E29-I29</f>
      </c>
      <c r="K29" s="5"/>
      <c r="L29" s="5"/>
      <c r="M29" s="5"/>
      <c r="N29" s="5"/>
      <c r="O29" s="5"/>
      <c r="P29" s="5"/>
      <c r="Q29" s="5"/>
      <c r="R29" s="5"/>
      <c r="S29" s="5"/>
      <c r="T29" s="5"/>
    </row>
    <row r="30">
      <c r="A30" s="4"/>
      <c r="B30" s="5"/>
      <c r="C30" s="5"/>
      <c r="D30" s="5"/>
      <c r="E30" s="16" t="n">
        <v>0</v>
      </c>
      <c r="F30" s="5"/>
      <c r="G30" s="5"/>
      <c r="H30" s="5"/>
      <c r="I30" s="16" t="n">
        <v>0</v>
      </c>
      <c r="J30" s="8" t="str">
        <f>E30-I30</f>
      </c>
      <c r="K30" s="5"/>
      <c r="L30" s="5"/>
      <c r="M30" s="5"/>
      <c r="N30" s="5"/>
      <c r="O30" s="5"/>
      <c r="P30" s="5"/>
      <c r="Q30" s="5"/>
      <c r="R30" s="5"/>
      <c r="S30" s="5"/>
      <c r="T30" s="5"/>
    </row>
    <row r="31">
      <c r="A31" s="4"/>
      <c r="B31" s="5"/>
      <c r="C31" s="5"/>
      <c r="D31" s="5"/>
      <c r="E31" s="16" t="n">
        <v>0</v>
      </c>
      <c r="F31" s="5"/>
      <c r="G31" s="5"/>
      <c r="H31" s="5"/>
      <c r="I31" s="16" t="n">
        <v>0</v>
      </c>
      <c r="J31" s="8" t="str">
        <f>E31-I31</f>
      </c>
      <c r="K31" s="5"/>
      <c r="L31" s="5"/>
      <c r="M31" s="5"/>
      <c r="N31" s="5"/>
      <c r="O31" s="5"/>
      <c r="P31" s="5"/>
      <c r="Q31" s="5"/>
      <c r="R31" s="5"/>
      <c r="S31" s="5"/>
      <c r="T31" s="5"/>
    </row>
    <row r="32">
      <c r="A32" s="4"/>
      <c r="B32" s="5"/>
      <c r="C32" s="5"/>
      <c r="D32" s="5"/>
      <c r="E32" s="16" t="n">
        <v>0</v>
      </c>
      <c r="F32" s="5"/>
      <c r="G32" s="5"/>
      <c r="H32" s="5"/>
      <c r="I32" s="16" t="n">
        <v>0</v>
      </c>
      <c r="J32" s="8" t="str">
        <f>E32-I32</f>
      </c>
      <c r="K32" s="5"/>
      <c r="L32" s="5"/>
      <c r="M32" s="5"/>
      <c r="N32" s="5"/>
      <c r="O32" s="5"/>
      <c r="P32" s="5"/>
      <c r="Q32" s="5"/>
      <c r="R32" s="5"/>
      <c r="S32" s="5"/>
      <c r="T32" s="5"/>
    </row>
    <row r="33">
      <c r="A33" s="4"/>
      <c r="B33" s="5"/>
      <c r="C33" s="5"/>
      <c r="D33" s="5"/>
      <c r="E33" s="16" t="n">
        <v>0</v>
      </c>
      <c r="F33" s="5"/>
      <c r="G33" s="5"/>
      <c r="H33" s="5"/>
      <c r="I33" s="16" t="n">
        <v>0</v>
      </c>
      <c r="J33" s="8" t="str">
        <f>E33-I33</f>
      </c>
      <c r="K33" s="5"/>
      <c r="L33" s="5"/>
      <c r="M33" s="5"/>
      <c r="N33" s="5"/>
      <c r="O33" s="5"/>
      <c r="P33" s="5"/>
      <c r="Q33" s="5"/>
      <c r="R33" s="5"/>
      <c r="S33" s="5"/>
      <c r="T33" s="5"/>
    </row>
    <row r="34">
      <c r="A34" s="4"/>
      <c r="B34" s="5"/>
      <c r="C34" s="5"/>
      <c r="D34" s="5"/>
      <c r="E34" s="16" t="n">
        <v>0</v>
      </c>
      <c r="F34" s="5"/>
      <c r="G34" s="5"/>
      <c r="H34" s="5"/>
      <c r="I34" s="16" t="n">
        <v>0</v>
      </c>
      <c r="J34" s="8" t="str">
        <f>E34-I34</f>
      </c>
      <c r="K34" s="5"/>
      <c r="L34" s="5"/>
      <c r="M34" s="5"/>
      <c r="N34" s="5"/>
      <c r="O34" s="5"/>
      <c r="P34" s="5"/>
      <c r="Q34" s="5"/>
      <c r="R34" s="5"/>
      <c r="S34" s="5"/>
      <c r="T34" s="5"/>
    </row>
    <row r="35">
      <c r="A35" s="4" t="s">
        <v>51</v>
      </c>
      <c r="B35" s="5"/>
      <c r="C35" s="5"/>
      <c r="D35" s="5"/>
      <c r="E35" s="6" t="n">
        <v>2576602</v>
      </c>
      <c r="F35" s="5"/>
      <c r="G35" s="5"/>
      <c r="H35" s="5"/>
      <c r="I35" s="5"/>
      <c r="J35" s="6" t="n">
        <v>555642</v>
      </c>
      <c r="K35" s="5"/>
      <c r="L35" s="5"/>
      <c r="M35" s="5"/>
      <c r="N35" s="5"/>
      <c r="O35" s="5"/>
      <c r="P35" s="5"/>
      <c r="Q35" s="5"/>
      <c r="R35" s="5"/>
      <c r="S35" s="5"/>
      <c r="T35" s="5"/>
    </row>
    <row r="36">
      <c r="A36" s="4" t="s">
        <v>52</v>
      </c>
      <c r="B36" s="5"/>
      <c r="C36" s="5"/>
      <c r="D36" s="5"/>
      <c r="E36" s="5"/>
      <c r="F36" s="5"/>
      <c r="G36" s="5"/>
      <c r="H36" s="5"/>
      <c r="I36" s="5"/>
      <c r="J36" s="12" t="n">
        <v>0.226</v>
      </c>
      <c r="K36" s="5"/>
      <c r="L36" s="5"/>
      <c r="M36" s="5"/>
      <c r="N36" s="5"/>
      <c r="O36" s="5"/>
      <c r="P36" s="5"/>
      <c r="Q36" s="5"/>
      <c r="R36" s="5"/>
      <c r="S36" s="5"/>
      <c r="T36" s="5"/>
    </row>
    <row r="37">
      <c r="A37" s="4" t="s">
        <v>53</v>
      </c>
      <c r="B37" s="5"/>
      <c r="C37" s="5"/>
      <c r="D37" s="5"/>
      <c r="E37" s="5"/>
      <c r="F37" s="5"/>
      <c r="G37" s="5"/>
      <c r="H37" s="5"/>
      <c r="I37" s="5"/>
      <c r="J37" s="12" t="n">
        <v>0.248</v>
      </c>
      <c r="K37" s="5"/>
      <c r="L37" s="5"/>
      <c r="M37" s="5"/>
      <c r="N37" s="5"/>
      <c r="O37" s="5"/>
      <c r="P37" s="5"/>
      <c r="Q37" s="5"/>
      <c r="R37" s="5"/>
      <c r="S37" s="5"/>
      <c r="T37" s="5"/>
    </row>
    <row r="38">
      <c r="A38" s="14" t="s">
        <v>54</v>
      </c>
      <c r="B38" s="13" t="str">
        <f>SUM(E7:E34)</f>
      </c>
      <c r="C38" s="13"/>
      <c r="D38" s="13"/>
      <c r="E38" s="13"/>
      <c r="F38" s="13" t="str">
        <f>H5+SUM(J9:J34)</f>
      </c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</row>
    <row r="39">
      <c r="A39" s="15" t="s">
        <v>55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</row>
  </sheetData>
  <sheetProtection formatCells="0" formatColumns="0" insertColumns="1" insertRows="1" deleteColumns="1" deleteRows="1" sheet="1"/>
  <mergeCells count="28">
    <mergeCell ref="A1:T1"/>
    <mergeCell ref="B2:E2"/>
    <mergeCell ref="F2:J2"/>
    <mergeCell ref="K2:O2"/>
    <mergeCell ref="P2:T2"/>
    <mergeCell ref="B3:E3"/>
    <mergeCell ref="F3:J3"/>
    <mergeCell ref="B4:C4"/>
    <mergeCell ref="I4:J4"/>
    <mergeCell ref="D5:E5"/>
    <mergeCell ref="H5:J5"/>
    <mergeCell ref="B6:C6"/>
    <mergeCell ref="F6:H6"/>
    <mergeCell ref="B12:D12"/>
    <mergeCell ref="F12:H12"/>
    <mergeCell ref="B13:D13"/>
    <mergeCell ref="F13:H13"/>
    <mergeCell ref="B14:D14"/>
    <mergeCell ref="F14:H14"/>
    <mergeCell ref="B15:D15"/>
    <mergeCell ref="F15:H15"/>
    <mergeCell ref="B16:D16"/>
    <mergeCell ref="F16:H16"/>
    <mergeCell ref="B22:C22"/>
    <mergeCell ref="F22:H22"/>
    <mergeCell ref="B38:E38"/>
    <mergeCell ref="F38:J38"/>
    <mergeCell ref="A39:T39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claude-code</dc:creator>
  <cp:lastModifiedBy>claude-code</cp:lastModifiedBy>
  <dcterms:created xsi:type="dcterms:W3CDTF">2026-03-25T00:23:53Z</dcterms:created>
</coreProperties>
</file>