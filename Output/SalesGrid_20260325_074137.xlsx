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s 1-3" sheetId="1" state="visible" r:id="rId1"/>
    <sheet name="Comps 4-6" sheetId="2" state="visible" r:id="rId2"/>
    <sheet name="Comps 7-9" sheetId="3" state="visible" r:id="rId3"/>
    <sheet name="Comps 10-12" sheetId="4" state="visible" r:id="rId4"/>
    <sheet name="Comps 13-15" sheetId="5" state="visible" r:id="rId5"/>
    <sheet name="Comps 16-18" sheetId="6" state="visible" r:id="rId6"/>
    <sheet name="Comps 19-21" sheetId="7" state="visible" r:id="rId7"/>
    <sheet name="Comps 22-24" sheetId="8" state="visible" r:id="rId8"/>
    <sheet name="Comps 25-27" sheetId="9" state="visible" r:id="rId9"/>
    <sheet name="Comps 28-30" sheetId="10" state="visible" r:id="rId10"/>
  </sheets>
</workbook>
</file>

<file path=xl/sharedStrings.xml><?xml version="1.0" encoding="utf-8"?>
<sst xmlns="http://schemas.openxmlformats.org/spreadsheetml/2006/main" count="395" uniqueCount="395">
  <si>
    <t xml:space="preserve">Intermediate Sales Comparable Grid: Comps 1-3</t>
  </si>
  <si>
    <t xml:space="preserve">Subject</t>
  </si>
  <si>
    <t xml:space="preserve">Comparable Sale No. 1</t>
  </si>
  <si>
    <t xml:space="preserve">Comparable Sale No. 2</t>
  </si>
  <si>
    <t xml:space="preserve">Comparable Sale No. 3</t>
  </si>
  <si>
    <t xml:space="preserve">Street, City, State Zip</t>
  </si>
  <si>
    <t xml:space="preserve">1145 Cottonwood Lane, Valleybrook 93712</t>
  </si>
  <si>
    <t xml:space="preserve">3129 Sand Piper Way, Valleybrook 93712</t>
  </si>
  <si>
    <t xml:space="preserve">220 Meadowlark Drive, Valleybrook 93713</t>
  </si>
  <si>
    <t xml:space="preserve">3007 Eucalyptus Lane, Valleybrook 93712</t>
  </si>
  <si>
    <t xml:space="preserve">APN | MLS# | DOM | Subj.Prox</t>
  </si>
  <si>
    <t xml:space="preserve">761-160-21</t>
  </si>
  <si>
    <t xml:space="preserve">0.00 mi</t>
  </si>
  <si>
    <t xml:space="preserve">797-832-98</t>
  </si>
  <si>
    <t xml:space="preserve">AN44426734</t>
  </si>
  <si>
    <t xml:space="preserve">1.81 mi</t>
  </si>
  <si>
    <t xml:space="preserve">324-215-46</t>
  </si>
  <si>
    <t xml:space="preserve">AN22956471</t>
  </si>
  <si>
    <t xml:space="preserve">1.72 mi</t>
  </si>
  <si>
    <t xml:space="preserve">220-633-49</t>
  </si>
  <si>
    <t xml:space="preserve">AN95464025</t>
  </si>
  <si>
    <t xml:space="preserve">1.27 mi</t>
  </si>
  <si>
    <t xml:space="preserve">Sales Price | Concess. | Net SP</t>
  </si>
  <si>
    <t xml:space="preserve">N/A</t>
  </si>
  <si>
    <t xml:space="preserve">Regression Features</t>
  </si>
  <si>
    <t xml:space="preserve">Factual Value</t>
  </si>
  <si>
    <t xml:space="preserve">Value Contrib.</t>
  </si>
  <si>
    <t xml:space="preserve">Adjustment</t>
  </si>
  <si>
    <t xml:space="preserve">BASE VALUE</t>
  </si>
  <si>
    <t xml:space="preserve">Date of Sale | OffMkt | OnMkt</t>
  </si>
  <si>
    <t xml:space="preserve">12/18/25</t>
  </si>
  <si>
    <t xml:space="preserve">8/4/25</t>
  </si>
  <si>
    <t xml:space="preserve">6/23/25</t>
  </si>
  <si>
    <t xml:space="preserve">6/18/25</t>
  </si>
  <si>
    <t xml:space="preserve">Loc: Long | Lat | Area</t>
  </si>
  <si>
    <t xml:space="preserve">-121.45</t>
  </si>
  <si>
    <t xml:space="preserve">37.72</t>
  </si>
  <si>
    <t xml:space="preserve">466</t>
  </si>
  <si>
    <t xml:space="preserve">-121.483</t>
  </si>
  <si>
    <t xml:space="preserve">37.718</t>
  </si>
  <si>
    <t xml:space="preserve">472</t>
  </si>
  <si>
    <t xml:space="preserve">-121.419</t>
  </si>
  <si>
    <t xml:space="preserve">37.724</t>
  </si>
  <si>
    <t xml:space="preserve">462</t>
  </si>
  <si>
    <t xml:space="preserve">-121.471</t>
  </si>
  <si>
    <t xml:space="preserve">37.712</t>
  </si>
  <si>
    <t xml:space="preserve">471</t>
  </si>
  <si>
    <t xml:space="preserve">Site Size | Dimensions</t>
  </si>
  <si>
    <t xml:space="preserve">5984</t>
  </si>
  <si>
    <t xml:space="preserve">8826</t>
  </si>
  <si>
    <t xml:space="preserve">4861</t>
  </si>
  <si>
    <t xml:space="preserve">13067</t>
  </si>
  <si>
    <t xml:space="preserve">Actual Age | Effective Age</t>
  </si>
  <si>
    <t xml:space="preserve">78</t>
  </si>
  <si>
    <t xml:space="preserve">58</t>
  </si>
  <si>
    <t xml:space="preserve">84</t>
  </si>
  <si>
    <t xml:space="preserve">47</t>
  </si>
  <si>
    <t xml:space="preserve">Sale Age</t>
  </si>
  <si>
    <t xml:space="preserve">13</t>
  </si>
  <si>
    <t xml:space="preserve">149</t>
  </si>
  <si>
    <t xml:space="preserve">191</t>
  </si>
  <si>
    <t xml:space="preserve">196</t>
  </si>
  <si>
    <t xml:space="preserve">Living SF</t>
  </si>
  <si>
    <t xml:space="preserve">1764</t>
  </si>
  <si>
    <t xml:space="preserve">2240</t>
  </si>
  <si>
    <t xml:space="preserve">1880</t>
  </si>
  <si>
    <t xml:space="preserve">2890</t>
  </si>
  <si>
    <t xml:space="preserve">Beds</t>
  </si>
  <si>
    <t xml:space="preserve">3</t>
  </si>
  <si>
    <t xml:space="preserve">4</t>
  </si>
  <si>
    <t xml:space="preserve">Baths</t>
  </si>
  <si>
    <t xml:space="preserve">2</t>
  </si>
  <si>
    <t xml:space="preserve">2.5</t>
  </si>
  <si>
    <t xml:space="preserve">Garage</t>
  </si>
  <si>
    <t xml:space="preserve">1</t>
  </si>
  <si>
    <t xml:space="preserve">Living SF,Sale Age</t>
  </si>
  <si>
    <t xml:space="preserve">Beds,Living SF</t>
  </si>
  <si>
    <t xml:space="preserve">Baths,Living SF</t>
  </si>
  <si>
    <t xml:space="preserve">Residual Features</t>
  </si>
  <si>
    <t xml:space="preserve">CQA / Description</t>
  </si>
  <si>
    <t xml:space="preserve">Description</t>
  </si>
  <si>
    <t xml:space="preserve">CQA | Residual</t>
  </si>
  <si>
    <t xml:space="preserve">View</t>
  </si>
  <si>
    <t xml:space="preserve">Design</t>
  </si>
  <si>
    <t xml:space="preserve">Quality of Construction</t>
  </si>
  <si>
    <t xml:space="preserve">Condition</t>
  </si>
  <si>
    <t xml:space="preserve">Functional Utility</t>
  </si>
  <si>
    <t xml:space="preserve">Total VC / Net Adjustment</t>
  </si>
  <si>
    <t xml:space="preserve">Net Adjustment %</t>
  </si>
  <si>
    <t xml:space="preserve">Gross Adjustment %</t>
  </si>
  <si>
    <t xml:space="preserve">Adjusted Sale Price</t>
  </si>
  <si>
    <t xml:space="preserve">Generated by earthUI 2026-03-25  |  Copyright 2022-2026, Pacific Vista Net</t>
  </si>
  <si>
    <t xml:space="preserve">Intermediate Sales Comparable Grid: Comps 4-6</t>
  </si>
  <si>
    <t xml:space="preserve">Comparable Sale No. 4</t>
  </si>
  <si>
    <t xml:space="preserve">Comparable Sale No. 5</t>
  </si>
  <si>
    <t xml:space="preserve">Comparable Sale No. 6</t>
  </si>
  <si>
    <t xml:space="preserve">2897 Meadow Creek Lane, Valleybrook 93711</t>
  </si>
  <si>
    <t xml:space="preserve">1813 Oak Valley Drive, Valleybrook 93712</t>
  </si>
  <si>
    <t xml:space="preserve">2841 Primrose Lane, Valleybrook 93713</t>
  </si>
  <si>
    <t xml:space="preserve">858-719-55</t>
  </si>
  <si>
    <t xml:space="preserve">AN75647021</t>
  </si>
  <si>
    <t xml:space="preserve">1.22 mi</t>
  </si>
  <si>
    <t xml:space="preserve">557-838-71</t>
  </si>
  <si>
    <t xml:space="preserve">AN62425387</t>
  </si>
  <si>
    <t xml:space="preserve">1.86 mi</t>
  </si>
  <si>
    <t xml:space="preserve">676-502-63</t>
  </si>
  <si>
    <t xml:space="preserve">AN67082519</t>
  </si>
  <si>
    <t xml:space="preserve">1.60 mi</t>
  </si>
  <si>
    <t xml:space="preserve">5/13/25</t>
  </si>
  <si>
    <t xml:space="preserve">6/17/25</t>
  </si>
  <si>
    <t xml:space="preserve">4/22/25</t>
  </si>
  <si>
    <t xml:space="preserve">-121.472</t>
  </si>
  <si>
    <t xml:space="preserve">37.717</t>
  </si>
  <si>
    <t xml:space="preserve">-121.484</t>
  </si>
  <si>
    <t xml:space="preserve">-121.479</t>
  </si>
  <si>
    <t xml:space="preserve">37.723</t>
  </si>
  <si>
    <t xml:space="preserve">8376</t>
  </si>
  <si>
    <t xml:space="preserve">13166</t>
  </si>
  <si>
    <t xml:space="preserve">7759</t>
  </si>
  <si>
    <t xml:space="preserve">64</t>
  </si>
  <si>
    <t xml:space="preserve">59</t>
  </si>
  <si>
    <t xml:space="preserve">61</t>
  </si>
  <si>
    <t xml:space="preserve">232</t>
  </si>
  <si>
    <t xml:space="preserve">197</t>
  </si>
  <si>
    <t xml:space="preserve">253</t>
  </si>
  <si>
    <t xml:space="preserve">1946</t>
  </si>
  <si>
    <t xml:space="preserve">2000</t>
  </si>
  <si>
    <t xml:space="preserve">1970</t>
  </si>
  <si>
    <t xml:space="preserve">Intermediate Sales Comparable Grid: Comps 7-9</t>
  </si>
  <si>
    <t xml:space="preserve">Comparable Sale No. 7</t>
  </si>
  <si>
    <t xml:space="preserve">Comparable Sale No. 8</t>
  </si>
  <si>
    <t xml:space="preserve">Comparable Sale No. 9</t>
  </si>
  <si>
    <t xml:space="preserve">1201 Boulder Creek Drive, Valleybrook 93711</t>
  </si>
  <si>
    <t xml:space="preserve">1494 Amber Hills Way, Valleybrook 93710</t>
  </si>
  <si>
    <t xml:space="preserve">1437 Oak Valley Drive, Valleybrook 93710</t>
  </si>
  <si>
    <t xml:space="preserve">221-282-78</t>
  </si>
  <si>
    <t xml:space="preserve">AN56676884</t>
  </si>
  <si>
    <t xml:space="preserve">0.18 mi</t>
  </si>
  <si>
    <t xml:space="preserve">341-214-83</t>
  </si>
  <si>
    <t xml:space="preserve">AN28865664</t>
  </si>
  <si>
    <t xml:space="preserve">1.45 mi</t>
  </si>
  <si>
    <t xml:space="preserve">112-569-73</t>
  </si>
  <si>
    <t xml:space="preserve">AN43971980</t>
  </si>
  <si>
    <t xml:space="preserve">0.53 mi</t>
  </si>
  <si>
    <t xml:space="preserve">6/12/25</t>
  </si>
  <si>
    <t xml:space="preserve">4/14/25</t>
  </si>
  <si>
    <t xml:space="preserve">11/12/25</t>
  </si>
  <si>
    <t xml:space="preserve">-121.453</t>
  </si>
  <si>
    <t xml:space="preserve">37.719</t>
  </si>
  <si>
    <t xml:space="preserve">-121.476</t>
  </si>
  <si>
    <t xml:space="preserve">37.716</t>
  </si>
  <si>
    <t xml:space="preserve">-121.459</t>
  </si>
  <si>
    <t xml:space="preserve">5974</t>
  </si>
  <si>
    <t xml:space="preserve">35961</t>
  </si>
  <si>
    <t xml:space="preserve">5979</t>
  </si>
  <si>
    <t xml:space="preserve">102</t>
  </si>
  <si>
    <t xml:space="preserve">52</t>
  </si>
  <si>
    <t xml:space="preserve">85</t>
  </si>
  <si>
    <t xml:space="preserve">202</t>
  </si>
  <si>
    <t xml:space="preserve">261</t>
  </si>
  <si>
    <t xml:space="preserve">49</t>
  </si>
  <si>
    <t xml:space="preserve">1710</t>
  </si>
  <si>
    <t xml:space="preserve">2580</t>
  </si>
  <si>
    <t xml:space="preserve">1720</t>
  </si>
  <si>
    <t xml:space="preserve">Intermediate Sales Comparable Grid: Comps 10-12</t>
  </si>
  <si>
    <t xml:space="preserve">Comparable Sale No. 10</t>
  </si>
  <si>
    <t xml:space="preserve">Comparable Sale No. 11</t>
  </si>
  <si>
    <t xml:space="preserve">Comparable Sale No. 12</t>
  </si>
  <si>
    <t xml:space="preserve">1202 Willow Springs Drive, Valleybrook 93713</t>
  </si>
  <si>
    <t xml:space="preserve">1421 Pelican Drive, Valleybrook 93710</t>
  </si>
  <si>
    <t xml:space="preserve">2162 Poplar Avenue, Valleybrook 93713</t>
  </si>
  <si>
    <t xml:space="preserve">322-872-17</t>
  </si>
  <si>
    <t xml:space="preserve">AN82445335</t>
  </si>
  <si>
    <t xml:space="preserve">0.44 mi</t>
  </si>
  <si>
    <t xml:space="preserve">988-764-59</t>
  </si>
  <si>
    <t xml:space="preserve">AN49258091</t>
  </si>
  <si>
    <t xml:space="preserve">381-500-59</t>
  </si>
  <si>
    <t xml:space="preserve">AN99617131</t>
  </si>
  <si>
    <t xml:space="preserve">1.30 mi</t>
  </si>
  <si>
    <t xml:space="preserve">7/28/25</t>
  </si>
  <si>
    <t xml:space="preserve">8/6/25</t>
  </si>
  <si>
    <t xml:space="preserve">4/11/25</t>
  </si>
  <si>
    <t xml:space="preserve">-121.443</t>
  </si>
  <si>
    <t xml:space="preserve">465</t>
  </si>
  <si>
    <t xml:space="preserve">-121.454</t>
  </si>
  <si>
    <t xml:space="preserve">37.727</t>
  </si>
  <si>
    <t xml:space="preserve">467</t>
  </si>
  <si>
    <t xml:space="preserve">4302</t>
  </si>
  <si>
    <t xml:space="preserve">6003</t>
  </si>
  <si>
    <t xml:space="preserve">8388</t>
  </si>
  <si>
    <t xml:space="preserve">50</t>
  </si>
  <si>
    <t xml:space="preserve">68</t>
  </si>
  <si>
    <t xml:space="preserve">156</t>
  </si>
  <si>
    <t xml:space="preserve">147</t>
  </si>
  <si>
    <t xml:space="preserve">264</t>
  </si>
  <si>
    <t xml:space="preserve">1590</t>
  </si>
  <si>
    <t xml:space="preserve">2710</t>
  </si>
  <si>
    <t xml:space="preserve">1745</t>
  </si>
  <si>
    <t xml:space="preserve">5</t>
  </si>
  <si>
    <t xml:space="preserve">3.5</t>
  </si>
  <si>
    <t xml:space="preserve">0</t>
  </si>
  <si>
    <t xml:space="preserve">Intermediate Sales Comparable Grid: Comps 13-15</t>
  </si>
  <si>
    <t xml:space="preserve">Comparable Sale No. 13</t>
  </si>
  <si>
    <t xml:space="preserve">Comparable Sale No. 14</t>
  </si>
  <si>
    <t xml:space="preserve">Comparable Sale No. 15</t>
  </si>
  <si>
    <t xml:space="preserve">2586 Sage Brush Road, Valleybrook 93713</t>
  </si>
  <si>
    <t xml:space="preserve">1820 Hawk Ridge Road, Valleybrook 93710</t>
  </si>
  <si>
    <t xml:space="preserve">330 Magnolia Way, Valleybrook 93711</t>
  </si>
  <si>
    <t xml:space="preserve">162-739-69</t>
  </si>
  <si>
    <t xml:space="preserve">AN22712374</t>
  </si>
  <si>
    <t xml:space="preserve">1.25 mi</t>
  </si>
  <si>
    <t xml:space="preserve">288-942-81</t>
  </si>
  <si>
    <t xml:space="preserve">AN62652401</t>
  </si>
  <si>
    <t xml:space="preserve">1.64 mi</t>
  </si>
  <si>
    <t xml:space="preserve">290-326-50</t>
  </si>
  <si>
    <t xml:space="preserve">AN71368875</t>
  </si>
  <si>
    <t xml:space="preserve">0.99 mi</t>
  </si>
  <si>
    <t xml:space="preserve">4/29/25</t>
  </si>
  <si>
    <t xml:space="preserve">9/17/25</t>
  </si>
  <si>
    <t xml:space="preserve">8/26/25</t>
  </si>
  <si>
    <t xml:space="preserve">37.725</t>
  </si>
  <si>
    <t xml:space="preserve">-121.48</t>
  </si>
  <si>
    <t xml:space="preserve">37.721</t>
  </si>
  <si>
    <t xml:space="preserve">-121.435</t>
  </si>
  <si>
    <t xml:space="preserve">460</t>
  </si>
  <si>
    <t xml:space="preserve">6993</t>
  </si>
  <si>
    <t xml:space="preserve">8517</t>
  </si>
  <si>
    <t xml:space="preserve">7588</t>
  </si>
  <si>
    <t xml:space="preserve">66</t>
  </si>
  <si>
    <t xml:space="preserve">62</t>
  </si>
  <si>
    <t xml:space="preserve">109</t>
  </si>
  <si>
    <t xml:space="preserve">246</t>
  </si>
  <si>
    <t xml:space="preserve">105</t>
  </si>
  <si>
    <t xml:space="preserve">127</t>
  </si>
  <si>
    <t xml:space="preserve">2040</t>
  </si>
  <si>
    <t xml:space="preserve">2110</t>
  </si>
  <si>
    <t xml:space="preserve">2335</t>
  </si>
  <si>
    <t xml:space="preserve">Intermediate Sales Comparable Grid: Comps 16-18</t>
  </si>
  <si>
    <t xml:space="preserve">Comparable Sale No. 16</t>
  </si>
  <si>
    <t xml:space="preserve">Comparable Sale No. 17</t>
  </si>
  <si>
    <t xml:space="preserve">Comparable Sale No. 18</t>
  </si>
  <si>
    <t xml:space="preserve">2715 Manzanita Road, Valleybrook 93711</t>
  </si>
  <si>
    <t xml:space="preserve">711 Vineyard Way, Valleybrook 93711</t>
  </si>
  <si>
    <t xml:space="preserve">711 Copper Creek Way, Valleybrook 93713</t>
  </si>
  <si>
    <t xml:space="preserve">192-841-41</t>
  </si>
  <si>
    <t xml:space="preserve">AN68592599</t>
  </si>
  <si>
    <t xml:space="preserve">1.26 mi</t>
  </si>
  <si>
    <t xml:space="preserve">298-527-29</t>
  </si>
  <si>
    <t xml:space="preserve">AN86409465</t>
  </si>
  <si>
    <t xml:space="preserve">1.42 mi</t>
  </si>
  <si>
    <t xml:space="preserve">137-181-17</t>
  </si>
  <si>
    <t xml:space="preserve">AN30833152</t>
  </si>
  <si>
    <t xml:space="preserve">1.37 mi</t>
  </si>
  <si>
    <t xml:space="preserve">9/24/25</t>
  </si>
  <si>
    <t xml:space="preserve">3/27/25</t>
  </si>
  <si>
    <t xml:space="preserve">3/31/25</t>
  </si>
  <si>
    <t xml:space="preserve">-121.473</t>
  </si>
  <si>
    <t xml:space="preserve">37.722</t>
  </si>
  <si>
    <t xml:space="preserve">-121.424</t>
  </si>
  <si>
    <t xml:space="preserve">-121.425</t>
  </si>
  <si>
    <t xml:space="preserve">463</t>
  </si>
  <si>
    <t xml:space="preserve">8717</t>
  </si>
  <si>
    <t xml:space="preserve">4976</t>
  </si>
  <si>
    <t xml:space="preserve">4981</t>
  </si>
  <si>
    <t xml:space="preserve">87</t>
  </si>
  <si>
    <t xml:space="preserve">89</t>
  </si>
  <si>
    <t xml:space="preserve">98</t>
  </si>
  <si>
    <t xml:space="preserve">279</t>
  </si>
  <si>
    <t xml:space="preserve">275</t>
  </si>
  <si>
    <t xml:space="preserve">2081</t>
  </si>
  <si>
    <t xml:space="preserve">2256</t>
  </si>
  <si>
    <t xml:space="preserve">Intermediate Sales Comparable Grid: Comps 19-21</t>
  </si>
  <si>
    <t xml:space="preserve">Comparable Sale No. 19</t>
  </si>
  <si>
    <t xml:space="preserve">Comparable Sale No. 20</t>
  </si>
  <si>
    <t xml:space="preserve">Comparable Sale No. 21</t>
  </si>
  <si>
    <t xml:space="preserve">2695 Wild Rose Way, Valleybrook 93711</t>
  </si>
  <si>
    <t xml:space="preserve">1548 Sierra Vista Way, Valleybrook 93713</t>
  </si>
  <si>
    <t xml:space="preserve">100 Walnut Creek Court, Valleybrook 93710</t>
  </si>
  <si>
    <t xml:space="preserve">488-822-46</t>
  </si>
  <si>
    <t xml:space="preserve">AN17158543</t>
  </si>
  <si>
    <t xml:space="preserve">1.10 mi</t>
  </si>
  <si>
    <t xml:space="preserve">166-271-75</t>
  </si>
  <si>
    <t xml:space="preserve">AN92528662</t>
  </si>
  <si>
    <t xml:space="preserve">0.81 mi</t>
  </si>
  <si>
    <t xml:space="preserve">154-516-36</t>
  </si>
  <si>
    <t xml:space="preserve">AN73051358</t>
  </si>
  <si>
    <t xml:space="preserve">1.75 mi</t>
  </si>
  <si>
    <t xml:space="preserve">5/4/25</t>
  </si>
  <si>
    <t xml:space="preserve">5/24/25</t>
  </si>
  <si>
    <t xml:space="preserve">4/15/25</t>
  </si>
  <si>
    <t xml:space="preserve">-121.468</t>
  </si>
  <si>
    <t xml:space="preserve">37.713</t>
  </si>
  <si>
    <t xml:space="preserve">-121.464</t>
  </si>
  <si>
    <t xml:space="preserve">-121.482</t>
  </si>
  <si>
    <t xml:space="preserve">10643</t>
  </si>
  <si>
    <t xml:space="preserve">8028</t>
  </si>
  <si>
    <t xml:space="preserve">15277</t>
  </si>
  <si>
    <t xml:space="preserve">73</t>
  </si>
  <si>
    <t xml:space="preserve">241</t>
  </si>
  <si>
    <t xml:space="preserve">221</t>
  </si>
  <si>
    <t xml:space="preserve">260</t>
  </si>
  <si>
    <t xml:space="preserve">1940</t>
  </si>
  <si>
    <t xml:space="preserve">1742</t>
  </si>
  <si>
    <t xml:space="preserve">Intermediate Sales Comparable Grid: Comps 22-24</t>
  </si>
  <si>
    <t xml:space="preserve">Comparable Sale No. 22</t>
  </si>
  <si>
    <t xml:space="preserve">Comparable Sale No. 23</t>
  </si>
  <si>
    <t xml:space="preserve">Comparable Sale No. 24</t>
  </si>
  <si>
    <t xml:space="preserve">733 Boulder Creek Drive, Valleybrook 93712</t>
  </si>
  <si>
    <t xml:space="preserve">733 Wren Court, Valleybrook 93710</t>
  </si>
  <si>
    <t xml:space="preserve">1228 Sierra Vista Way, Valleybrook 93713</t>
  </si>
  <si>
    <t xml:space="preserve">416-655-98</t>
  </si>
  <si>
    <t xml:space="preserve">AN48759195</t>
  </si>
  <si>
    <t xml:space="preserve">867-848-43</t>
  </si>
  <si>
    <t xml:space="preserve">AN27431859</t>
  </si>
  <si>
    <t xml:space="preserve">456-460-68</t>
  </si>
  <si>
    <t xml:space="preserve">AN25331969</t>
  </si>
  <si>
    <t xml:space="preserve">0.50 mi</t>
  </si>
  <si>
    <t xml:space="preserve">8/2/25</t>
  </si>
  <si>
    <t xml:space="preserve">7/30/25</t>
  </si>
  <si>
    <t xml:space="preserve">6/10/25</t>
  </si>
  <si>
    <t xml:space="preserve">-121.427</t>
  </si>
  <si>
    <t xml:space="preserve">-121.441</t>
  </si>
  <si>
    <t xml:space="preserve">5376</t>
  </si>
  <si>
    <t xml:space="preserve">5012</t>
  </si>
  <si>
    <t xml:space="preserve">7211</t>
  </si>
  <si>
    <t xml:space="preserve">110</t>
  </si>
  <si>
    <t xml:space="preserve">151</t>
  </si>
  <si>
    <t xml:space="preserve">154</t>
  </si>
  <si>
    <t xml:space="preserve">204</t>
  </si>
  <si>
    <t xml:space="preserve">2020</t>
  </si>
  <si>
    <t xml:space="preserve">2173</t>
  </si>
  <si>
    <t xml:space="preserve">2370</t>
  </si>
  <si>
    <t xml:space="preserve">Intermediate Sales Comparable Grid: Comps 25-27</t>
  </si>
  <si>
    <t xml:space="preserve">Comparable Sale No. 25</t>
  </si>
  <si>
    <t xml:space="preserve">Comparable Sale No. 26</t>
  </si>
  <si>
    <t xml:space="preserve">Comparable Sale No. 27</t>
  </si>
  <si>
    <t xml:space="preserve">2210 Kingfisher Court, Valleybrook 93712</t>
  </si>
  <si>
    <t xml:space="preserve">3065 Elm Grove Way, Valleybrook 93713</t>
  </si>
  <si>
    <t xml:space="preserve">2981 Canyon View Court, Valleybrook 93713</t>
  </si>
  <si>
    <t xml:space="preserve">207-278-59</t>
  </si>
  <si>
    <t xml:space="preserve">AN41758221</t>
  </si>
  <si>
    <t xml:space="preserve">0.55 mi</t>
  </si>
  <si>
    <t xml:space="preserve">303-195-21</t>
  </si>
  <si>
    <t xml:space="preserve">AN20191870</t>
  </si>
  <si>
    <t xml:space="preserve">1.80 mi</t>
  </si>
  <si>
    <t xml:space="preserve">564-736-43</t>
  </si>
  <si>
    <t xml:space="preserve">AN38834825</t>
  </si>
  <si>
    <t xml:space="preserve">1.70 mi</t>
  </si>
  <si>
    <t xml:space="preserve">6/9/25</t>
  </si>
  <si>
    <t xml:space="preserve">9/19/25</t>
  </si>
  <si>
    <t xml:space="preserve">8/13/25</t>
  </si>
  <si>
    <t xml:space="preserve">-121.46</t>
  </si>
  <si>
    <t xml:space="preserve">-121.481</t>
  </si>
  <si>
    <t xml:space="preserve">6000</t>
  </si>
  <si>
    <t xml:space="preserve">12270</t>
  </si>
  <si>
    <t xml:space="preserve">12377</t>
  </si>
  <si>
    <t xml:space="preserve">96</t>
  </si>
  <si>
    <t xml:space="preserve">205</t>
  </si>
  <si>
    <t xml:space="preserve">103</t>
  </si>
  <si>
    <t xml:space="preserve">140</t>
  </si>
  <si>
    <t xml:space="preserve">1557</t>
  </si>
  <si>
    <t xml:space="preserve">2120</t>
  </si>
  <si>
    <t xml:space="preserve">Intermediate Sales Comparable Grid: Comps 28-30</t>
  </si>
  <si>
    <t xml:space="preserve">Comparable Sale No. 28</t>
  </si>
  <si>
    <t xml:space="preserve">Comparable Sale No. 29</t>
  </si>
  <si>
    <t xml:space="preserve">Comparable Sale No. 30</t>
  </si>
  <si>
    <t xml:space="preserve">105 Cypress Point Drive, Valleybrook 93711</t>
  </si>
  <si>
    <t xml:space="preserve">785 Falcon Ridge Drive, Valleybrook 93711</t>
  </si>
  <si>
    <t xml:space="preserve">443 Pelican Drive, Valleybrook 93711</t>
  </si>
  <si>
    <t xml:space="preserve">597-129-59</t>
  </si>
  <si>
    <t xml:space="preserve">AN68496914</t>
  </si>
  <si>
    <t xml:space="preserve">1.16 mi</t>
  </si>
  <si>
    <t xml:space="preserve">525-211-65</t>
  </si>
  <si>
    <t xml:space="preserve">AN30634593</t>
  </si>
  <si>
    <t xml:space="preserve">0.60 mi</t>
  </si>
  <si>
    <t xml:space="preserve">933-312-67</t>
  </si>
  <si>
    <t xml:space="preserve">AN22008959</t>
  </si>
  <si>
    <t xml:space="preserve">11/13/25</t>
  </si>
  <si>
    <t xml:space="preserve">9/6/25</t>
  </si>
  <si>
    <t xml:space="preserve">5/5/25</t>
  </si>
  <si>
    <t xml:space="preserve">-121.434</t>
  </si>
  <si>
    <t xml:space="preserve">37.709</t>
  </si>
  <si>
    <t xml:space="preserve">-121.439</t>
  </si>
  <si>
    <t xml:space="preserve">-121.428</t>
  </si>
  <si>
    <t xml:space="preserve">6255</t>
  </si>
  <si>
    <t xml:space="preserve">5218</t>
  </si>
  <si>
    <t xml:space="preserve">5625</t>
  </si>
  <si>
    <t xml:space="preserve">97</t>
  </si>
  <si>
    <t xml:space="preserve">86</t>
  </si>
  <si>
    <t xml:space="preserve">48</t>
  </si>
  <si>
    <t xml:space="preserve">116</t>
  </si>
  <si>
    <t xml:space="preserve">240</t>
  </si>
  <si>
    <t xml:space="preserve">2330</t>
  </si>
  <si>
    <t xml:space="preserve">1618</t>
  </si>
  <si>
    <t xml:space="preserve">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</si>
</sst>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#,##0"/>
    <numFmt numFmtId="167" formatCode="#,##0"/>
    <numFmt numFmtId="169" formatCode="0.00"/>
    <numFmt numFmtId="168" formatCode="#,##0"/>
    <numFmt numFmtId="171" formatCode="0.0%"/>
    <numFmt numFmtId="172" formatCode="#,##0"/>
    <numFmt numFmtId="170" formatCode="#,##0"/>
  </numFmts>
  <fonts count="4">
    <font>
      <sz val="9"/>
      <color rgb="FF000000"/>
      <name val="Arial Narrow"/>
    </font>
    <font>
      <sz val="11"/>
      <color rgb="FFFFFFFF"/>
      <name val="Arial Narrow"/>
      <b/>
    </font>
    <font>
      <sz val="9"/>
      <color rgb="FF000000"/>
      <name val="Arial Narrow"/>
      <b/>
    </font>
    <font>
      <sz val="9"/>
      <color rgb="FFC00000"/>
      <name val="Arial Narrow"/>
      <b/>
    </font>
  </fonts>
  <fills count="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CCCCF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FFFFDD"/>
      </patternFill>
    </fill>
  </fills>
  <borders count="3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center" vertical="center"/>
    </xf>
    <xf numFmtId="166" fontId="0" fillId="5" borderId="2" xfId="0" applyFont="1" applyNumberFormat="1" applyFill="1" applyBorder="1" applyAlignment="1">
      <alignment horizontal="center" vertical="center"/>
    </xf>
    <xf numFmtId="167" fontId="0" fillId="6" borderId="2" xfId="0" applyFont="1" applyNumberFormat="1" applyFill="1" applyBorder="1" applyAlignment="1">
      <alignment horizontal="right" vertical="center"/>
    </xf>
    <xf numFmtId="166" fontId="0" fillId="5" borderId="2" xfId="0" applyFont="1" applyNumberFormat="1" applyFill="1" applyBorder="1" applyAlignment="1">
      <alignment horizontal="right" vertical="center"/>
    </xf>
    <xf numFmtId="169" fontId="0" fillId="5" borderId="2" xfId="0" applyFont="1" applyNumberFormat="1" applyFill="1" applyBorder="1" applyAlignment="1">
      <alignment horizontal="center" vertical="center"/>
    </xf>
    <xf numFmtId="168" fontId="3" fillId="5" borderId="2" xfId="0" applyFont="1" applyNumberFormat="1" applyFill="1" applyBorder="1" applyAlignment="1">
      <alignment horizontal="center" vertical="center"/>
    </xf>
    <xf numFmtId="168" fontId="3" fillId="7" borderId="2" xfId="0" applyFont="1" applyNumberFormat="1" applyFill="1" applyBorder="1" applyAlignment="1">
      <alignment horizontal="right" vertical="center"/>
    </xf>
    <xf numFmtId="171" fontId="0" fillId="5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170" fontId="0" fillId="8" borderId="2" xfId="0" applyFont="1" applyNumberForma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</v>
      </c>
      <c r="G2" s="2"/>
      <c r="H2" s="2"/>
      <c r="I2" s="2"/>
      <c r="J2" s="2"/>
      <c r="K2" s="2" t="s">
        <v>3</v>
      </c>
      <c r="L2" s="2"/>
      <c r="M2" s="2"/>
      <c r="N2" s="2"/>
      <c r="O2" s="2"/>
      <c r="P2" s="2" t="s">
        <v>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7</v>
      </c>
      <c r="G3" s="3"/>
      <c r="H3" s="3"/>
      <c r="I3" s="3"/>
      <c r="J3" s="3"/>
      <c r="K3" s="3" t="s">
        <v>8</v>
      </c>
      <c r="L3" s="3"/>
      <c r="M3" s="3"/>
      <c r="N3" s="3"/>
      <c r="O3" s="3"/>
      <c r="P3" s="3" t="s">
        <v>9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13</v>
      </c>
      <c r="G4" s="5" t="s">
        <v>14</v>
      </c>
      <c r="H4" s="5" t="n">
        <v>24</v>
      </c>
      <c r="I4" s="5" t="s">
        <v>15</v>
      </c>
      <c r="J4" s="5"/>
      <c r="K4" s="5" t="s">
        <v>16</v>
      </c>
      <c r="L4" s="5" t="s">
        <v>17</v>
      </c>
      <c r="M4" s="5" t="n">
        <v>21</v>
      </c>
      <c r="N4" s="5" t="s">
        <v>18</v>
      </c>
      <c r="O4" s="5"/>
      <c r="P4" s="5" t="s">
        <v>19</v>
      </c>
      <c r="Q4" s="5" t="s">
        <v>20</v>
      </c>
      <c r="R4" s="5" t="n">
        <v>31</v>
      </c>
      <c r="S4" s="5" t="s">
        <v>21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3084000</v>
      </c>
      <c r="G5" s="6" t="n">
        <v>0</v>
      </c>
      <c r="H5" s="6" t="str">
        <f>F5-G5</f>
      </c>
      <c r="I5" s="5"/>
      <c r="J5" s="5"/>
      <c r="K5" s="6" t="n">
        <v>3284000</v>
      </c>
      <c r="L5" s="6" t="n">
        <v>0</v>
      </c>
      <c r="M5" s="6" t="str">
        <f>K5-L5</f>
      </c>
      <c r="N5" s="5"/>
      <c r="O5" s="5"/>
      <c r="P5" s="6" t="n">
        <v>3034000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31</v>
      </c>
      <c r="G8" s="5" t="n">
        <v>149</v>
      </c>
      <c r="H8" s="5" t="n">
        <v>24</v>
      </c>
      <c r="I8" s="5"/>
      <c r="J8" s="5"/>
      <c r="K8" s="5" t="s">
        <v>32</v>
      </c>
      <c r="L8" s="5" t="n">
        <v>191</v>
      </c>
      <c r="M8" s="5" t="n">
        <v>21</v>
      </c>
      <c r="N8" s="5"/>
      <c r="O8" s="5"/>
      <c r="P8" s="5" t="s">
        <v>33</v>
      </c>
      <c r="Q8" s="5" t="n">
        <v>196</v>
      </c>
      <c r="R8" s="5" t="n">
        <v>31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2659832</v>
      </c>
      <c r="F9" s="5" t="s">
        <v>38</v>
      </c>
      <c r="G9" s="5" t="s">
        <v>39</v>
      </c>
      <c r="H9" s="5" t="s">
        <v>40</v>
      </c>
      <c r="I9" s="7" t="n">
        <v>2659378</v>
      </c>
      <c r="J9" s="8" t="n">
        <v>454</v>
      </c>
      <c r="K9" s="5" t="s">
        <v>41</v>
      </c>
      <c r="L9" s="5" t="s">
        <v>42</v>
      </c>
      <c r="M9" s="5" t="s">
        <v>43</v>
      </c>
      <c r="N9" s="7" t="n">
        <v>2705300</v>
      </c>
      <c r="O9" s="8" t="n">
        <v>-45468</v>
      </c>
      <c r="P9" s="5" t="s">
        <v>44</v>
      </c>
      <c r="Q9" s="5" t="s">
        <v>45</v>
      </c>
      <c r="R9" s="5" t="s">
        <v>46</v>
      </c>
      <c r="S9" s="7" t="n">
        <v>2546504</v>
      </c>
      <c r="T9" s="8" t="n">
        <v>113328</v>
      </c>
    </row>
    <row r="10">
      <c r="A10" s="4" t="s">
        <v>47</v>
      </c>
      <c r="B10" s="5" t="s">
        <v>48</v>
      </c>
      <c r="C10" s="5"/>
      <c r="D10" s="5"/>
      <c r="E10" s="7" t="n">
        <v>741</v>
      </c>
      <c r="F10" s="5" t="s">
        <v>49</v>
      </c>
      <c r="G10" s="5"/>
      <c r="H10" s="5"/>
      <c r="I10" s="7" t="n">
        <v>1093</v>
      </c>
      <c r="J10" s="8" t="n">
        <v>-352</v>
      </c>
      <c r="K10" s="5" t="s">
        <v>50</v>
      </c>
      <c r="L10" s="5"/>
      <c r="M10" s="5"/>
      <c r="N10" s="7" t="n">
        <v>613</v>
      </c>
      <c r="O10" s="8" t="n">
        <v>128</v>
      </c>
      <c r="P10" s="5" t="s">
        <v>51</v>
      </c>
      <c r="Q10" s="5"/>
      <c r="R10" s="5"/>
      <c r="S10" s="7" t="n">
        <v>1550</v>
      </c>
      <c r="T10" s="8" t="n">
        <v>-809</v>
      </c>
    </row>
    <row r="11">
      <c r="A11" s="4" t="s">
        <v>52</v>
      </c>
      <c r="B11" s="5" t="s">
        <v>53</v>
      </c>
      <c r="C11" s="5"/>
      <c r="D11" s="5"/>
      <c r="E11" s="7" t="n">
        <v>2120</v>
      </c>
      <c r="F11" s="5" t="s">
        <v>54</v>
      </c>
      <c r="G11" s="5"/>
      <c r="H11" s="5"/>
      <c r="I11" s="7" t="n">
        <v>-3675</v>
      </c>
      <c r="J11" s="8" t="n">
        <v>5795</v>
      </c>
      <c r="K11" s="5" t="s">
        <v>55</v>
      </c>
      <c r="L11" s="5"/>
      <c r="M11" s="5"/>
      <c r="N11" s="7" t="n">
        <v>2178</v>
      </c>
      <c r="O11" s="8" t="n">
        <v>-58</v>
      </c>
      <c r="P11" s="5" t="s">
        <v>56</v>
      </c>
      <c r="Q11" s="5"/>
      <c r="R11" s="5"/>
      <c r="S11" s="7" t="n">
        <v>-8967</v>
      </c>
      <c r="T11" s="8" t="n">
        <v>11087</v>
      </c>
    </row>
    <row r="12">
      <c r="A12" s="4" t="s">
        <v>57</v>
      </c>
      <c r="B12" s="5" t="s">
        <v>58</v>
      </c>
      <c r="C12" s="5"/>
      <c r="D12" s="5"/>
      <c r="E12" s="6" t="n">
        <v>2928</v>
      </c>
      <c r="F12" s="5" t="s">
        <v>59</v>
      </c>
      <c r="G12" s="5"/>
      <c r="H12" s="5"/>
      <c r="I12" s="6" t="n">
        <v>2367</v>
      </c>
      <c r="J12" s="6" t="n">
        <v>561</v>
      </c>
      <c r="K12" s="5" t="s">
        <v>60</v>
      </c>
      <c r="L12" s="5"/>
      <c r="M12" s="5"/>
      <c r="N12" s="6" t="n">
        <v>2233</v>
      </c>
      <c r="O12" s="6" t="n">
        <v>695</v>
      </c>
      <c r="P12" s="5" t="s">
        <v>61</v>
      </c>
      <c r="Q12" s="5"/>
      <c r="R12" s="5"/>
      <c r="S12" s="6" t="n">
        <v>2082</v>
      </c>
      <c r="T12" s="6" t="n">
        <v>846</v>
      </c>
    </row>
    <row r="13">
      <c r="A13" s="4" t="s">
        <v>62</v>
      </c>
      <c r="B13" s="5" t="s">
        <v>63</v>
      </c>
      <c r="C13" s="5"/>
      <c r="D13" s="5"/>
      <c r="E13" s="6" t="n">
        <v>-1963</v>
      </c>
      <c r="F13" s="5" t="s">
        <v>64</v>
      </c>
      <c r="G13" s="5"/>
      <c r="H13" s="5"/>
      <c r="I13" s="6" t="n">
        <v>3683</v>
      </c>
      <c r="J13" s="6" t="n">
        <v>-5646</v>
      </c>
      <c r="K13" s="5" t="s">
        <v>65</v>
      </c>
      <c r="L13" s="5"/>
      <c r="M13" s="5"/>
      <c r="N13" s="6" t="n">
        <v>-375</v>
      </c>
      <c r="O13" s="6" t="n">
        <v>-1588</v>
      </c>
      <c r="P13" s="5" t="s">
        <v>66</v>
      </c>
      <c r="Q13" s="5"/>
      <c r="R13" s="5"/>
      <c r="S13" s="6" t="n">
        <v>7938</v>
      </c>
      <c r="T13" s="6" t="n">
        <v>-9901</v>
      </c>
    </row>
    <row r="14">
      <c r="A14" s="4" t="s">
        <v>67</v>
      </c>
      <c r="B14" s="5" t="s">
        <v>68</v>
      </c>
      <c r="C14" s="5"/>
      <c r="D14" s="5"/>
      <c r="E14" s="6" t="n">
        <v>-34</v>
      </c>
      <c r="F14" s="5" t="s">
        <v>69</v>
      </c>
      <c r="G14" s="5"/>
      <c r="H14" s="5"/>
      <c r="I14" s="6" t="n">
        <v>1350</v>
      </c>
      <c r="J14" s="6" t="n">
        <v>-1385</v>
      </c>
      <c r="K14" s="5" t="s">
        <v>69</v>
      </c>
      <c r="L14" s="5"/>
      <c r="M14" s="5"/>
      <c r="N14" s="6" t="n">
        <v>1374</v>
      </c>
      <c r="O14" s="6" t="n">
        <v>-1409</v>
      </c>
      <c r="P14" s="5" t="s">
        <v>68</v>
      </c>
      <c r="Q14" s="5"/>
      <c r="R14" s="5"/>
      <c r="S14" s="6" t="n">
        <v>-33</v>
      </c>
      <c r="T14" s="6" t="n">
        <v>-2</v>
      </c>
    </row>
    <row r="15">
      <c r="A15" s="4" t="s">
        <v>70</v>
      </c>
      <c r="B15" s="5" t="s">
        <v>71</v>
      </c>
      <c r="C15" s="5"/>
      <c r="D15" s="5"/>
      <c r="E15" s="6" t="n">
        <v>0</v>
      </c>
      <c r="F15" s="5" t="s">
        <v>71</v>
      </c>
      <c r="G15" s="5"/>
      <c r="H15" s="5"/>
      <c r="I15" s="6" t="n">
        <v>0</v>
      </c>
      <c r="J15" s="6" t="n">
        <v>0</v>
      </c>
      <c r="K15" s="5" t="s">
        <v>72</v>
      </c>
      <c r="L15" s="5"/>
      <c r="M15" s="5"/>
      <c r="N15" s="6" t="n">
        <v>0</v>
      </c>
      <c r="O15" s="6" t="n">
        <v>0</v>
      </c>
      <c r="P15" s="5" t="s">
        <v>72</v>
      </c>
      <c r="Q15" s="5"/>
      <c r="R15" s="5"/>
      <c r="S15" s="6" t="n">
        <v>0</v>
      </c>
      <c r="T15" s="6" t="n">
        <v>0</v>
      </c>
    </row>
    <row r="16">
      <c r="A16" s="4" t="s">
        <v>73</v>
      </c>
      <c r="B16" s="5" t="s">
        <v>74</v>
      </c>
      <c r="C16" s="5"/>
      <c r="D16" s="5"/>
      <c r="E16" s="6" t="n">
        <v>79</v>
      </c>
      <c r="F16" s="5" t="s">
        <v>71</v>
      </c>
      <c r="G16" s="5"/>
      <c r="H16" s="5"/>
      <c r="I16" s="6" t="n">
        <v>147</v>
      </c>
      <c r="J16" s="6" t="n">
        <v>-68</v>
      </c>
      <c r="K16" s="5" t="s">
        <v>71</v>
      </c>
      <c r="L16" s="5"/>
      <c r="M16" s="5"/>
      <c r="N16" s="6" t="n">
        <v>150</v>
      </c>
      <c r="O16" s="6" t="n">
        <v>-71</v>
      </c>
      <c r="P16" s="5" t="s">
        <v>71</v>
      </c>
      <c r="Q16" s="5"/>
      <c r="R16" s="5"/>
      <c r="S16" s="6" t="n">
        <v>141</v>
      </c>
      <c r="T16" s="6" t="n">
        <v>-62</v>
      </c>
    </row>
    <row r="17">
      <c r="A17" s="4" t="s">
        <v>75</v>
      </c>
      <c r="B17" s="5"/>
      <c r="C17" s="5"/>
      <c r="D17" s="5"/>
      <c r="E17" s="6" t="n">
        <v>-177</v>
      </c>
      <c r="F17" s="5"/>
      <c r="G17" s="5"/>
      <c r="H17" s="5"/>
      <c r="I17" s="6" t="n">
        <v>-125</v>
      </c>
      <c r="J17" s="6" t="n">
        <v>-51</v>
      </c>
      <c r="K17" s="5"/>
      <c r="L17" s="5"/>
      <c r="M17" s="5"/>
      <c r="N17" s="6" t="n">
        <v>-189</v>
      </c>
      <c r="O17" s="6" t="n">
        <v>12</v>
      </c>
      <c r="P17" s="5"/>
      <c r="Q17" s="5"/>
      <c r="R17" s="5"/>
      <c r="S17" s="6" t="n">
        <v>159</v>
      </c>
      <c r="T17" s="6" t="n">
        <v>-335</v>
      </c>
    </row>
    <row r="18">
      <c r="A18" s="4" t="s">
        <v>76</v>
      </c>
      <c r="B18" s="5"/>
      <c r="C18" s="5"/>
      <c r="D18" s="5"/>
      <c r="E18" s="6" t="n">
        <v>319</v>
      </c>
      <c r="F18" s="5"/>
      <c r="G18" s="5"/>
      <c r="H18" s="5"/>
      <c r="I18" s="6" t="n">
        <v>-758</v>
      </c>
      <c r="J18" s="6" t="n">
        <v>1077</v>
      </c>
      <c r="K18" s="5"/>
      <c r="L18" s="5"/>
      <c r="M18" s="5"/>
      <c r="N18" s="6" t="n">
        <v>-126</v>
      </c>
      <c r="O18" s="6" t="n">
        <v>445</v>
      </c>
      <c r="P18" s="5"/>
      <c r="Q18" s="5"/>
      <c r="R18" s="5"/>
      <c r="S18" s="6" t="n">
        <v>-484</v>
      </c>
      <c r="T18" s="6" t="n">
        <v>803</v>
      </c>
    </row>
    <row r="19">
      <c r="A19" s="4" t="s">
        <v>77</v>
      </c>
      <c r="B19" s="5"/>
      <c r="C19" s="5"/>
      <c r="D19" s="5"/>
      <c r="E19" s="6" t="n">
        <v>453</v>
      </c>
      <c r="F19" s="5"/>
      <c r="G19" s="5"/>
      <c r="H19" s="5"/>
      <c r="I19" s="6" t="n">
        <v>-285</v>
      </c>
      <c r="J19" s="6" t="n">
        <v>738</v>
      </c>
      <c r="K19" s="5"/>
      <c r="L19" s="5"/>
      <c r="M19" s="5"/>
      <c r="N19" s="6" t="n">
        <v>-58</v>
      </c>
      <c r="O19" s="6" t="n">
        <v>510</v>
      </c>
      <c r="P19" s="5"/>
      <c r="Q19" s="5"/>
      <c r="R19" s="5"/>
      <c r="S19" s="6" t="n">
        <v>151</v>
      </c>
      <c r="T19" s="6" t="n">
        <v>302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78</v>
      </c>
      <c r="B21" s="3" t="s">
        <v>79</v>
      </c>
      <c r="C21" s="3"/>
      <c r="D21" s="3"/>
      <c r="E21" s="3" t="s">
        <v>26</v>
      </c>
      <c r="F21" s="3" t="s">
        <v>80</v>
      </c>
      <c r="G21" s="3"/>
      <c r="H21" s="3"/>
      <c r="I21" s="3" t="s">
        <v>26</v>
      </c>
      <c r="J21" s="3" t="s">
        <v>27</v>
      </c>
      <c r="K21" s="3" t="s">
        <v>80</v>
      </c>
      <c r="L21" s="3"/>
      <c r="M21" s="3"/>
      <c r="N21" s="3" t="s">
        <v>26</v>
      </c>
      <c r="O21" s="3" t="s">
        <v>27</v>
      </c>
      <c r="P21" s="3" t="s">
        <v>80</v>
      </c>
      <c r="Q21" s="3"/>
      <c r="R21" s="3"/>
      <c r="S21" s="3" t="s">
        <v>26</v>
      </c>
      <c r="T21" s="3" t="s">
        <v>27</v>
      </c>
    </row>
    <row r="22">
      <c r="A22" s="4" t="s">
        <v>81</v>
      </c>
      <c r="B22" s="9" t="n">
        <v>9.1</v>
      </c>
      <c r="C22" s="2"/>
      <c r="D22" s="2"/>
      <c r="E22" s="11" t="str">
        <f>510045-SUM(E23:E33)</f>
      </c>
      <c r="F22" s="9" t="n">
        <v>8.38</v>
      </c>
      <c r="G22" s="5"/>
      <c r="H22" s="5"/>
      <c r="I22" s="10" t="str">
        <f>420825-SUM(I23:I33)</f>
      </c>
      <c r="J22" s="10" t="str">
        <f>E22-I22</f>
      </c>
      <c r="K22" s="9" t="n">
        <v>8.94</v>
      </c>
      <c r="L22" s="5"/>
      <c r="M22" s="5"/>
      <c r="N22" s="10" t="str">
        <f>572899-SUM(N23:N33)</f>
      </c>
      <c r="O22" s="10" t="str">
        <f>E22-N22</f>
      </c>
      <c r="P22" s="9" t="n">
        <v>8.66</v>
      </c>
      <c r="Q22" s="5"/>
      <c r="R22" s="5"/>
      <c r="S22" s="10" t="str">
        <f>484960-SUM(S23:S33)</f>
      </c>
      <c r="T22" s="10" t="str">
        <f>E22-S22</f>
      </c>
    </row>
    <row r="23">
      <c r="A23" s="4" t="s">
        <v>82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83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84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85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86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87</v>
      </c>
      <c r="B34" s="5"/>
      <c r="C34" s="5"/>
      <c r="D34" s="5"/>
      <c r="E34" s="6" t="n">
        <v>2664298</v>
      </c>
      <c r="F34" s="5"/>
      <c r="G34" s="5"/>
      <c r="H34" s="5"/>
      <c r="I34" s="5"/>
      <c r="J34" s="6" t="n">
        <v>90344</v>
      </c>
      <c r="K34" s="5"/>
      <c r="L34" s="5"/>
      <c r="M34" s="5"/>
      <c r="N34" s="5"/>
      <c r="O34" s="6" t="n">
        <v>-109656</v>
      </c>
      <c r="P34" s="5"/>
      <c r="Q34" s="5"/>
      <c r="R34" s="5"/>
      <c r="S34" s="5"/>
      <c r="T34" s="6" t="n">
        <v>140344</v>
      </c>
    </row>
    <row r="35">
      <c r="A35" s="4" t="s">
        <v>88</v>
      </c>
      <c r="B35" s="5"/>
      <c r="C35" s="5"/>
      <c r="D35" s="5"/>
      <c r="E35" s="5"/>
      <c r="F35" s="5"/>
      <c r="G35" s="5"/>
      <c r="H35" s="5"/>
      <c r="I35" s="5"/>
      <c r="J35" s="12" t="n">
        <v>0.029</v>
      </c>
      <c r="K35" s="5"/>
      <c r="L35" s="5"/>
      <c r="M35" s="5"/>
      <c r="N35" s="5"/>
      <c r="O35" s="12" t="n">
        <v>-0.033</v>
      </c>
      <c r="P35" s="5"/>
      <c r="Q35" s="5"/>
      <c r="R35" s="5"/>
      <c r="S35" s="5"/>
      <c r="T35" s="12" t="n">
        <v>0.046</v>
      </c>
    </row>
    <row r="36">
      <c r="A36" s="4" t="s">
        <v>89</v>
      </c>
      <c r="B36" s="5"/>
      <c r="C36" s="5"/>
      <c r="D36" s="5"/>
      <c r="E36" s="5"/>
      <c r="F36" s="5"/>
      <c r="G36" s="5"/>
      <c r="H36" s="5"/>
      <c r="I36" s="5"/>
      <c r="J36" s="12" t="n">
        <v>0.034</v>
      </c>
      <c r="K36" s="5"/>
      <c r="L36" s="5"/>
      <c r="M36" s="5"/>
      <c r="N36" s="5"/>
      <c r="O36" s="12" t="n">
        <v>0.039</v>
      </c>
      <c r="P36" s="5"/>
      <c r="Q36" s="5"/>
      <c r="R36" s="5"/>
      <c r="S36" s="5"/>
      <c r="T36" s="12" t="n">
        <v>0.066</v>
      </c>
    </row>
    <row r="37">
      <c r="A37" s="14" t="s">
        <v>90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91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93</v>
      </c>
      <c r="G2" s="2"/>
      <c r="H2" s="2"/>
      <c r="I2" s="2"/>
      <c r="J2" s="2"/>
      <c r="K2" s="2" t="s">
        <v>94</v>
      </c>
      <c r="L2" s="2"/>
      <c r="M2" s="2"/>
      <c r="N2" s="2"/>
      <c r="O2" s="2"/>
      <c r="P2" s="2" t="s">
        <v>95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96</v>
      </c>
      <c r="G3" s="3"/>
      <c r="H3" s="3"/>
      <c r="I3" s="3"/>
      <c r="J3" s="3"/>
      <c r="K3" s="3" t="s">
        <v>97</v>
      </c>
      <c r="L3" s="3"/>
      <c r="M3" s="3"/>
      <c r="N3" s="3"/>
      <c r="O3" s="3"/>
      <c r="P3" s="3" t="s">
        <v>98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99</v>
      </c>
      <c r="G4" s="5" t="s">
        <v>100</v>
      </c>
      <c r="H4" s="5" t="n">
        <v>15</v>
      </c>
      <c r="I4" s="5" t="s">
        <v>101</v>
      </c>
      <c r="J4" s="5"/>
      <c r="K4" s="5" t="s">
        <v>102</v>
      </c>
      <c r="L4" s="5" t="s">
        <v>103</v>
      </c>
      <c r="M4" s="5" t="n">
        <v>14</v>
      </c>
      <c r="N4" s="5" t="s">
        <v>104</v>
      </c>
      <c r="O4" s="5"/>
      <c r="P4" s="5" t="s">
        <v>105</v>
      </c>
      <c r="Q4" s="5" t="s">
        <v>106</v>
      </c>
      <c r="R4" s="5" t="n">
        <v>15</v>
      </c>
      <c r="S4" s="5" t="s">
        <v>107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2964000</v>
      </c>
      <c r="G5" s="6" t="n">
        <v>0</v>
      </c>
      <c r="H5" s="6" t="str">
        <f>F5-G5</f>
      </c>
      <c r="I5" s="5"/>
      <c r="J5" s="5"/>
      <c r="K5" s="6" t="n">
        <v>2955000</v>
      </c>
      <c r="L5" s="6" t="n">
        <v>0</v>
      </c>
      <c r="M5" s="6" t="str">
        <f>K5-L5</f>
      </c>
      <c r="N5" s="5"/>
      <c r="O5" s="5"/>
      <c r="P5" s="6" t="n">
        <v>3142000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108</v>
      </c>
      <c r="G8" s="5" t="n">
        <v>232</v>
      </c>
      <c r="H8" s="5" t="n">
        <v>15</v>
      </c>
      <c r="I8" s="5"/>
      <c r="J8" s="5"/>
      <c r="K8" s="5" t="s">
        <v>109</v>
      </c>
      <c r="L8" s="5" t="n">
        <v>197</v>
      </c>
      <c r="M8" s="5" t="n">
        <v>14</v>
      </c>
      <c r="N8" s="5"/>
      <c r="O8" s="5"/>
      <c r="P8" s="5" t="s">
        <v>110</v>
      </c>
      <c r="Q8" s="5" t="n">
        <v>253</v>
      </c>
      <c r="R8" s="5" t="n">
        <v>15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2659832</v>
      </c>
      <c r="F9" s="5" t="s">
        <v>111</v>
      </c>
      <c r="G9" s="5" t="s">
        <v>112</v>
      </c>
      <c r="H9" s="5" t="s">
        <v>46</v>
      </c>
      <c r="I9" s="7" t="n">
        <v>2680536</v>
      </c>
      <c r="J9" s="8" t="n">
        <v>-20704</v>
      </c>
      <c r="K9" s="5" t="s">
        <v>113</v>
      </c>
      <c r="L9" s="5" t="s">
        <v>36</v>
      </c>
      <c r="M9" s="5" t="s">
        <v>40</v>
      </c>
      <c r="N9" s="7" t="n">
        <v>2503540</v>
      </c>
      <c r="O9" s="8" t="n">
        <v>156292</v>
      </c>
      <c r="P9" s="5" t="s">
        <v>114</v>
      </c>
      <c r="Q9" s="5" t="s">
        <v>115</v>
      </c>
      <c r="R9" s="5" t="s">
        <v>40</v>
      </c>
      <c r="S9" s="7" t="n">
        <v>2511021</v>
      </c>
      <c r="T9" s="8" t="n">
        <v>148811</v>
      </c>
    </row>
    <row r="10">
      <c r="A10" s="4" t="s">
        <v>47</v>
      </c>
      <c r="B10" s="5" t="s">
        <v>48</v>
      </c>
      <c r="C10" s="5"/>
      <c r="D10" s="5"/>
      <c r="E10" s="7" t="n">
        <v>741</v>
      </c>
      <c r="F10" s="5" t="s">
        <v>116</v>
      </c>
      <c r="G10" s="5"/>
      <c r="H10" s="5"/>
      <c r="I10" s="7" t="n">
        <v>1046</v>
      </c>
      <c r="J10" s="8" t="n">
        <v>-305</v>
      </c>
      <c r="K10" s="5" t="s">
        <v>117</v>
      </c>
      <c r="L10" s="5"/>
      <c r="M10" s="5"/>
      <c r="N10" s="7" t="n">
        <v>1535</v>
      </c>
      <c r="O10" s="8" t="n">
        <v>-794</v>
      </c>
      <c r="P10" s="5" t="s">
        <v>118</v>
      </c>
      <c r="Q10" s="5"/>
      <c r="R10" s="5"/>
      <c r="S10" s="7" t="n">
        <v>907</v>
      </c>
      <c r="T10" s="8" t="n">
        <v>-166</v>
      </c>
    </row>
    <row r="11">
      <c r="A11" s="4" t="s">
        <v>52</v>
      </c>
      <c r="B11" s="5" t="s">
        <v>53</v>
      </c>
      <c r="C11" s="5"/>
      <c r="D11" s="5"/>
      <c r="E11" s="7" t="n">
        <v>2120</v>
      </c>
      <c r="F11" s="5" t="s">
        <v>119</v>
      </c>
      <c r="G11" s="5"/>
      <c r="H11" s="5"/>
      <c r="I11" s="7" t="n">
        <v>-269</v>
      </c>
      <c r="J11" s="8" t="n">
        <v>2389</v>
      </c>
      <c r="K11" s="5" t="s">
        <v>120</v>
      </c>
      <c r="L11" s="5"/>
      <c r="M11" s="5"/>
      <c r="N11" s="7" t="n">
        <v>-2865</v>
      </c>
      <c r="O11" s="8" t="n">
        <v>4985</v>
      </c>
      <c r="P11" s="5" t="s">
        <v>121</v>
      </c>
      <c r="Q11" s="5"/>
      <c r="R11" s="5"/>
      <c r="S11" s="7" t="n">
        <v>-1734</v>
      </c>
      <c r="T11" s="8" t="n">
        <v>3854</v>
      </c>
    </row>
    <row r="12">
      <c r="A12" s="4" t="s">
        <v>57</v>
      </c>
      <c r="B12" s="5" t="s">
        <v>58</v>
      </c>
      <c r="C12" s="5"/>
      <c r="D12" s="5"/>
      <c r="E12" s="6" t="n">
        <v>2928</v>
      </c>
      <c r="F12" s="5" t="s">
        <v>122</v>
      </c>
      <c r="G12" s="5"/>
      <c r="H12" s="5"/>
      <c r="I12" s="6" t="n">
        <v>2042</v>
      </c>
      <c r="J12" s="6" t="n">
        <v>886</v>
      </c>
      <c r="K12" s="5" t="s">
        <v>123</v>
      </c>
      <c r="L12" s="5"/>
      <c r="M12" s="5"/>
      <c r="N12" s="6" t="n">
        <v>2043</v>
      </c>
      <c r="O12" s="6" t="n">
        <v>886</v>
      </c>
      <c r="P12" s="5" t="s">
        <v>124</v>
      </c>
      <c r="Q12" s="5"/>
      <c r="R12" s="5"/>
      <c r="S12" s="6" t="n">
        <v>1831</v>
      </c>
      <c r="T12" s="6" t="n">
        <v>1097</v>
      </c>
    </row>
    <row r="13">
      <c r="A13" s="4" t="s">
        <v>62</v>
      </c>
      <c r="B13" s="5" t="s">
        <v>63</v>
      </c>
      <c r="C13" s="5"/>
      <c r="D13" s="5"/>
      <c r="E13" s="6" t="n">
        <v>-1963</v>
      </c>
      <c r="F13" s="5" t="s">
        <v>125</v>
      </c>
      <c r="G13" s="5"/>
      <c r="H13" s="5"/>
      <c r="I13" s="6" t="n">
        <v>480</v>
      </c>
      <c r="J13" s="6" t="n">
        <v>-2442</v>
      </c>
      <c r="K13" s="5" t="s">
        <v>126</v>
      </c>
      <c r="L13" s="5"/>
      <c r="M13" s="5"/>
      <c r="N13" s="6" t="n">
        <v>1066</v>
      </c>
      <c r="O13" s="6" t="n">
        <v>-3028</v>
      </c>
      <c r="P13" s="5" t="s">
        <v>127</v>
      </c>
      <c r="Q13" s="5"/>
      <c r="R13" s="5"/>
      <c r="S13" s="6" t="n">
        <v>728</v>
      </c>
      <c r="T13" s="6" t="n">
        <v>-2691</v>
      </c>
    </row>
    <row r="14">
      <c r="A14" s="4" t="s">
        <v>67</v>
      </c>
      <c r="B14" s="5" t="s">
        <v>68</v>
      </c>
      <c r="C14" s="5"/>
      <c r="D14" s="5"/>
      <c r="E14" s="6" t="n">
        <v>-34</v>
      </c>
      <c r="F14" s="5" t="s">
        <v>69</v>
      </c>
      <c r="G14" s="5"/>
      <c r="H14" s="5"/>
      <c r="I14" s="6" t="n">
        <v>1361</v>
      </c>
      <c r="J14" s="6" t="n">
        <v>-1396</v>
      </c>
      <c r="K14" s="5" t="s">
        <v>68</v>
      </c>
      <c r="L14" s="5"/>
      <c r="M14" s="5"/>
      <c r="N14" s="6" t="n">
        <v>-32</v>
      </c>
      <c r="O14" s="6" t="n">
        <v>-2</v>
      </c>
      <c r="P14" s="5" t="s">
        <v>68</v>
      </c>
      <c r="Q14" s="5"/>
      <c r="R14" s="5"/>
      <c r="S14" s="6" t="n">
        <v>-33</v>
      </c>
      <c r="T14" s="6" t="n">
        <v>-2</v>
      </c>
    </row>
    <row r="15">
      <c r="A15" s="4" t="s">
        <v>70</v>
      </c>
      <c r="B15" s="5" t="s">
        <v>71</v>
      </c>
      <c r="C15" s="5"/>
      <c r="D15" s="5"/>
      <c r="E15" s="6" t="n">
        <v>0</v>
      </c>
      <c r="F15" s="5" t="s">
        <v>72</v>
      </c>
      <c r="G15" s="5"/>
      <c r="H15" s="5"/>
      <c r="I15" s="6" t="n">
        <v>0</v>
      </c>
      <c r="J15" s="6" t="n">
        <v>0</v>
      </c>
      <c r="K15" s="5" t="s">
        <v>68</v>
      </c>
      <c r="L15" s="5"/>
      <c r="M15" s="5"/>
      <c r="N15" s="6" t="n">
        <v>0</v>
      </c>
      <c r="O15" s="6" t="n">
        <v>0</v>
      </c>
      <c r="P15" s="5" t="s">
        <v>71</v>
      </c>
      <c r="Q15" s="5"/>
      <c r="R15" s="5"/>
      <c r="S15" s="6" t="n">
        <v>0</v>
      </c>
      <c r="T15" s="6" t="n">
        <v>0</v>
      </c>
    </row>
    <row r="16">
      <c r="A16" s="4" t="s">
        <v>73</v>
      </c>
      <c r="B16" s="5" t="s">
        <v>74</v>
      </c>
      <c r="C16" s="5"/>
      <c r="D16" s="5"/>
      <c r="E16" s="6" t="n">
        <v>79</v>
      </c>
      <c r="F16" s="5" t="s">
        <v>71</v>
      </c>
      <c r="G16" s="5"/>
      <c r="H16" s="5"/>
      <c r="I16" s="6" t="n">
        <v>148</v>
      </c>
      <c r="J16" s="6" t="n">
        <v>-70</v>
      </c>
      <c r="K16" s="5" t="s">
        <v>71</v>
      </c>
      <c r="L16" s="5"/>
      <c r="M16" s="5"/>
      <c r="N16" s="6" t="n">
        <v>139</v>
      </c>
      <c r="O16" s="6" t="n">
        <v>-60</v>
      </c>
      <c r="P16" s="5" t="s">
        <v>71</v>
      </c>
      <c r="Q16" s="5"/>
      <c r="R16" s="5"/>
      <c r="S16" s="6" t="n">
        <v>139</v>
      </c>
      <c r="T16" s="6" t="n">
        <v>-60</v>
      </c>
    </row>
    <row r="17">
      <c r="A17" s="4" t="s">
        <v>75</v>
      </c>
      <c r="B17" s="5"/>
      <c r="C17" s="5"/>
      <c r="D17" s="5"/>
      <c r="E17" s="6" t="n">
        <v>-177</v>
      </c>
      <c r="F17" s="5"/>
      <c r="G17" s="5"/>
      <c r="H17" s="5"/>
      <c r="I17" s="6" t="n">
        <v>-178</v>
      </c>
      <c r="J17" s="6" t="n">
        <v>2</v>
      </c>
      <c r="K17" s="5"/>
      <c r="L17" s="5"/>
      <c r="M17" s="5"/>
      <c r="N17" s="6" t="n">
        <v>-156</v>
      </c>
      <c r="O17" s="6" t="n">
        <v>-20</v>
      </c>
      <c r="P17" s="5"/>
      <c r="Q17" s="5"/>
      <c r="R17" s="5"/>
      <c r="S17" s="6" t="n">
        <v>-163</v>
      </c>
      <c r="T17" s="6" t="n">
        <v>-13</v>
      </c>
    </row>
    <row r="18">
      <c r="A18" s="4" t="s">
        <v>76</v>
      </c>
      <c r="B18" s="5"/>
      <c r="C18" s="5"/>
      <c r="D18" s="5"/>
      <c r="E18" s="6" t="n">
        <v>319</v>
      </c>
      <c r="F18" s="5"/>
      <c r="G18" s="5"/>
      <c r="H18" s="5"/>
      <c r="I18" s="6" t="n">
        <v>-268</v>
      </c>
      <c r="J18" s="6" t="n">
        <v>587</v>
      </c>
      <c r="K18" s="5"/>
      <c r="L18" s="5"/>
      <c r="M18" s="5"/>
      <c r="N18" s="6" t="n">
        <v>217</v>
      </c>
      <c r="O18" s="6" t="n">
        <v>102</v>
      </c>
      <c r="P18" s="5"/>
      <c r="Q18" s="5"/>
      <c r="R18" s="5"/>
      <c r="S18" s="6" t="n">
        <v>233</v>
      </c>
      <c r="T18" s="6" t="n">
        <v>86</v>
      </c>
    </row>
    <row r="19">
      <c r="A19" s="4" t="s">
        <v>77</v>
      </c>
      <c r="B19" s="5"/>
      <c r="C19" s="5"/>
      <c r="D19" s="5"/>
      <c r="E19" s="6" t="n">
        <v>453</v>
      </c>
      <c r="F19" s="5"/>
      <c r="G19" s="5"/>
      <c r="H19" s="5"/>
      <c r="I19" s="6" t="n">
        <v>-46</v>
      </c>
      <c r="J19" s="6" t="n">
        <v>499</v>
      </c>
      <c r="K19" s="5"/>
      <c r="L19" s="5"/>
      <c r="M19" s="5"/>
      <c r="N19" s="6" t="n">
        <v>-148</v>
      </c>
      <c r="O19" s="6" t="n">
        <v>600</v>
      </c>
      <c r="P19" s="5"/>
      <c r="Q19" s="5"/>
      <c r="R19" s="5"/>
      <c r="S19" s="6" t="n">
        <v>136</v>
      </c>
      <c r="T19" s="6" t="n">
        <v>316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78</v>
      </c>
      <c r="B21" s="3" t="s">
        <v>79</v>
      </c>
      <c r="C21" s="3"/>
      <c r="D21" s="3"/>
      <c r="E21" s="3" t="s">
        <v>26</v>
      </c>
      <c r="F21" s="3" t="s">
        <v>80</v>
      </c>
      <c r="G21" s="3"/>
      <c r="H21" s="3"/>
      <c r="I21" s="3" t="s">
        <v>26</v>
      </c>
      <c r="J21" s="3" t="s">
        <v>27</v>
      </c>
      <c r="K21" s="3" t="s">
        <v>80</v>
      </c>
      <c r="L21" s="3"/>
      <c r="M21" s="3"/>
      <c r="N21" s="3" t="s">
        <v>26</v>
      </c>
      <c r="O21" s="3" t="s">
        <v>27</v>
      </c>
      <c r="P21" s="3" t="s">
        <v>80</v>
      </c>
      <c r="Q21" s="3"/>
      <c r="R21" s="3"/>
      <c r="S21" s="3" t="s">
        <v>26</v>
      </c>
      <c r="T21" s="3" t="s">
        <v>27</v>
      </c>
    </row>
    <row r="22">
      <c r="A22" s="4" t="s">
        <v>81</v>
      </c>
      <c r="B22" s="9" t="n">
        <v>9.1</v>
      </c>
      <c r="C22" s="2"/>
      <c r="D22" s="2"/>
      <c r="E22" s="11" t="str">
        <f>510045-SUM(E23:E33)</f>
      </c>
      <c r="F22" s="9" t="n">
        <v>7.55</v>
      </c>
      <c r="G22" s="5"/>
      <c r="H22" s="5"/>
      <c r="I22" s="10" t="str">
        <f>279147-SUM(I23:I33)</f>
      </c>
      <c r="J22" s="10" t="str">
        <f>E22-I22</f>
      </c>
      <c r="K22" s="9" t="n">
        <v>8.51</v>
      </c>
      <c r="L22" s="5"/>
      <c r="M22" s="5"/>
      <c r="N22" s="10" t="str">
        <f>449662-SUM(N23:N33)</f>
      </c>
      <c r="O22" s="10" t="str">
        <f>E22-N22</f>
      </c>
      <c r="P22" s="9" t="n">
        <v>9.1</v>
      </c>
      <c r="Q22" s="5"/>
      <c r="R22" s="5"/>
      <c r="S22" s="10" t="str">
        <f>628933-SUM(S23:S33)</f>
      </c>
      <c r="T22" s="10" t="str">
        <f>E22-S22</f>
      </c>
    </row>
    <row r="23">
      <c r="A23" s="4" t="s">
        <v>82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83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84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85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86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87</v>
      </c>
      <c r="B34" s="5"/>
      <c r="C34" s="5"/>
      <c r="D34" s="5"/>
      <c r="E34" s="6" t="n">
        <v>2664298</v>
      </c>
      <c r="F34" s="5"/>
      <c r="G34" s="5"/>
      <c r="H34" s="5"/>
      <c r="I34" s="5"/>
      <c r="J34" s="6" t="n">
        <v>210344</v>
      </c>
      <c r="K34" s="5"/>
      <c r="L34" s="5"/>
      <c r="M34" s="5"/>
      <c r="N34" s="5"/>
      <c r="O34" s="6" t="n">
        <v>219344</v>
      </c>
      <c r="P34" s="5"/>
      <c r="Q34" s="5"/>
      <c r="R34" s="5"/>
      <c r="S34" s="5"/>
      <c r="T34" s="6" t="n">
        <v>32344</v>
      </c>
    </row>
    <row r="35">
      <c r="A35" s="4" t="s">
        <v>88</v>
      </c>
      <c r="B35" s="5"/>
      <c r="C35" s="5"/>
      <c r="D35" s="5"/>
      <c r="E35" s="5"/>
      <c r="F35" s="5"/>
      <c r="G35" s="5"/>
      <c r="H35" s="5"/>
      <c r="I35" s="5"/>
      <c r="J35" s="12" t="n">
        <v>0.071</v>
      </c>
      <c r="K35" s="5"/>
      <c r="L35" s="5"/>
      <c r="M35" s="5"/>
      <c r="N35" s="5"/>
      <c r="O35" s="12" t="n">
        <v>0.074</v>
      </c>
      <c r="P35" s="5"/>
      <c r="Q35" s="5"/>
      <c r="R35" s="5"/>
      <c r="S35" s="5"/>
      <c r="T35" s="12" t="n">
        <v>0.01</v>
      </c>
    </row>
    <row r="36">
      <c r="A36" s="4" t="s">
        <v>89</v>
      </c>
      <c r="B36" s="5"/>
      <c r="C36" s="5"/>
      <c r="D36" s="5"/>
      <c r="E36" s="5"/>
      <c r="F36" s="5"/>
      <c r="G36" s="5"/>
      <c r="H36" s="5"/>
      <c r="I36" s="5"/>
      <c r="J36" s="12" t="n">
        <v>0.09</v>
      </c>
      <c r="K36" s="5"/>
      <c r="L36" s="5"/>
      <c r="M36" s="5"/>
      <c r="N36" s="5"/>
      <c r="O36" s="12" t="n">
        <v>0.095</v>
      </c>
      <c r="P36" s="5"/>
      <c r="Q36" s="5"/>
      <c r="R36" s="5"/>
      <c r="S36" s="5"/>
      <c r="T36" s="12" t="n">
        <v>0.104</v>
      </c>
    </row>
    <row r="37">
      <c r="A37" s="14" t="s">
        <v>90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91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129</v>
      </c>
      <c r="G2" s="2"/>
      <c r="H2" s="2"/>
      <c r="I2" s="2"/>
      <c r="J2" s="2"/>
      <c r="K2" s="2" t="s">
        <v>130</v>
      </c>
      <c r="L2" s="2"/>
      <c r="M2" s="2"/>
      <c r="N2" s="2"/>
      <c r="O2" s="2"/>
      <c r="P2" s="2" t="s">
        <v>131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132</v>
      </c>
      <c r="G3" s="3"/>
      <c r="H3" s="3"/>
      <c r="I3" s="3"/>
      <c r="J3" s="3"/>
      <c r="K3" s="3" t="s">
        <v>133</v>
      </c>
      <c r="L3" s="3"/>
      <c r="M3" s="3"/>
      <c r="N3" s="3"/>
      <c r="O3" s="3"/>
      <c r="P3" s="3" t="s">
        <v>134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135</v>
      </c>
      <c r="G4" s="5" t="s">
        <v>136</v>
      </c>
      <c r="H4" s="5" t="n">
        <v>10</v>
      </c>
      <c r="I4" s="5" t="s">
        <v>137</v>
      </c>
      <c r="J4" s="5"/>
      <c r="K4" s="5" t="s">
        <v>138</v>
      </c>
      <c r="L4" s="5" t="s">
        <v>139</v>
      </c>
      <c r="M4" s="5" t="n">
        <v>5</v>
      </c>
      <c r="N4" s="5" t="s">
        <v>140</v>
      </c>
      <c r="O4" s="5"/>
      <c r="P4" s="5" t="s">
        <v>141</v>
      </c>
      <c r="Q4" s="5" t="s">
        <v>142</v>
      </c>
      <c r="R4" s="5" t="n">
        <v>5</v>
      </c>
      <c r="S4" s="5" t="s">
        <v>143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2881000</v>
      </c>
      <c r="G5" s="6" t="n">
        <v>0</v>
      </c>
      <c r="H5" s="6" t="str">
        <f>F5-G5</f>
      </c>
      <c r="I5" s="5"/>
      <c r="J5" s="5"/>
      <c r="K5" s="6" t="n">
        <v>3245000</v>
      </c>
      <c r="L5" s="6" t="n">
        <v>0</v>
      </c>
      <c r="M5" s="6" t="str">
        <f>K5-L5</f>
      </c>
      <c r="N5" s="5"/>
      <c r="O5" s="5"/>
      <c r="P5" s="6" t="n">
        <v>2911000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144</v>
      </c>
      <c r="G8" s="5" t="n">
        <v>202</v>
      </c>
      <c r="H8" s="5" t="n">
        <v>10</v>
      </c>
      <c r="I8" s="5"/>
      <c r="J8" s="5"/>
      <c r="K8" s="5" t="s">
        <v>145</v>
      </c>
      <c r="L8" s="5" t="n">
        <v>261</v>
      </c>
      <c r="M8" s="5" t="n">
        <v>5</v>
      </c>
      <c r="N8" s="5"/>
      <c r="O8" s="5"/>
      <c r="P8" s="5" t="s">
        <v>146</v>
      </c>
      <c r="Q8" s="5" t="n">
        <v>49</v>
      </c>
      <c r="R8" s="5" t="n">
        <v>5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2659832</v>
      </c>
      <c r="F9" s="5" t="s">
        <v>147</v>
      </c>
      <c r="G9" s="5" t="s">
        <v>148</v>
      </c>
      <c r="H9" s="5" t="s">
        <v>37</v>
      </c>
      <c r="I9" s="7" t="n">
        <v>2559123</v>
      </c>
      <c r="J9" s="8" t="n">
        <v>100709</v>
      </c>
      <c r="K9" s="5" t="s">
        <v>149</v>
      </c>
      <c r="L9" s="5" t="s">
        <v>150</v>
      </c>
      <c r="M9" s="5" t="s">
        <v>46</v>
      </c>
      <c r="N9" s="7" t="n">
        <v>2836532</v>
      </c>
      <c r="O9" s="8" t="n">
        <v>-176700</v>
      </c>
      <c r="P9" s="5" t="s">
        <v>151</v>
      </c>
      <c r="Q9" s="5" t="s">
        <v>115</v>
      </c>
      <c r="R9" s="5" t="s">
        <v>37</v>
      </c>
      <c r="S9" s="7" t="n">
        <v>2391176</v>
      </c>
      <c r="T9" s="8" t="n">
        <v>268656</v>
      </c>
    </row>
    <row r="10">
      <c r="A10" s="4" t="s">
        <v>47</v>
      </c>
      <c r="B10" s="5" t="s">
        <v>48</v>
      </c>
      <c r="C10" s="5"/>
      <c r="D10" s="5"/>
      <c r="E10" s="7" t="n">
        <v>741</v>
      </c>
      <c r="F10" s="5" t="s">
        <v>152</v>
      </c>
      <c r="G10" s="5"/>
      <c r="H10" s="5"/>
      <c r="I10" s="7" t="n">
        <v>712</v>
      </c>
      <c r="J10" s="8" t="n">
        <v>29</v>
      </c>
      <c r="K10" s="5" t="s">
        <v>153</v>
      </c>
      <c r="L10" s="5"/>
      <c r="M10" s="5"/>
      <c r="N10" s="7" t="n">
        <v>4751</v>
      </c>
      <c r="O10" s="8" t="n">
        <v>-4010</v>
      </c>
      <c r="P10" s="5" t="s">
        <v>154</v>
      </c>
      <c r="Q10" s="5"/>
      <c r="R10" s="5"/>
      <c r="S10" s="7" t="n">
        <v>666</v>
      </c>
      <c r="T10" s="8" t="n">
        <v>75</v>
      </c>
    </row>
    <row r="11">
      <c r="A11" s="4" t="s">
        <v>52</v>
      </c>
      <c r="B11" s="5" t="s">
        <v>53</v>
      </c>
      <c r="C11" s="5"/>
      <c r="D11" s="5"/>
      <c r="E11" s="7" t="n">
        <v>2120</v>
      </c>
      <c r="F11" s="5" t="s">
        <v>155</v>
      </c>
      <c r="G11" s="5"/>
      <c r="H11" s="5"/>
      <c r="I11" s="7" t="n">
        <v>2191</v>
      </c>
      <c r="J11" s="8" t="n">
        <v>-71</v>
      </c>
      <c r="K11" s="5" t="s">
        <v>156</v>
      </c>
      <c r="L11" s="5"/>
      <c r="M11" s="5"/>
      <c r="N11" s="7" t="n">
        <v>-7836</v>
      </c>
      <c r="O11" s="8" t="n">
        <v>9956</v>
      </c>
      <c r="P11" s="5" t="s">
        <v>157</v>
      </c>
      <c r="Q11" s="5"/>
      <c r="R11" s="5"/>
      <c r="S11" s="7" t="n">
        <v>1954</v>
      </c>
      <c r="T11" s="8" t="n">
        <v>166</v>
      </c>
    </row>
    <row r="12">
      <c r="A12" s="4" t="s">
        <v>57</v>
      </c>
      <c r="B12" s="5" t="s">
        <v>58</v>
      </c>
      <c r="C12" s="5"/>
      <c r="D12" s="5"/>
      <c r="E12" s="6" t="n">
        <v>2928</v>
      </c>
      <c r="F12" s="5" t="s">
        <v>158</v>
      </c>
      <c r="G12" s="5"/>
      <c r="H12" s="5"/>
      <c r="I12" s="6" t="n">
        <v>2069</v>
      </c>
      <c r="J12" s="6" t="n">
        <v>860</v>
      </c>
      <c r="K12" s="5" t="s">
        <v>159</v>
      </c>
      <c r="L12" s="5"/>
      <c r="M12" s="5"/>
      <c r="N12" s="6" t="n">
        <v>2033</v>
      </c>
      <c r="O12" s="6" t="n">
        <v>895</v>
      </c>
      <c r="P12" s="5" t="s">
        <v>160</v>
      </c>
      <c r="Q12" s="5"/>
      <c r="R12" s="5"/>
      <c r="S12" s="6" t="n">
        <v>2499</v>
      </c>
      <c r="T12" s="6" t="n">
        <v>429</v>
      </c>
    </row>
    <row r="13">
      <c r="A13" s="4" t="s">
        <v>62</v>
      </c>
      <c r="B13" s="5" t="s">
        <v>63</v>
      </c>
      <c r="C13" s="5"/>
      <c r="D13" s="5"/>
      <c r="E13" s="6" t="n">
        <v>-1963</v>
      </c>
      <c r="F13" s="5" t="s">
        <v>161</v>
      </c>
      <c r="G13" s="5"/>
      <c r="H13" s="5"/>
      <c r="I13" s="6" t="n">
        <v>-2645</v>
      </c>
      <c r="J13" s="6" t="n">
        <v>682</v>
      </c>
      <c r="K13" s="5" t="s">
        <v>162</v>
      </c>
      <c r="L13" s="5"/>
      <c r="M13" s="5"/>
      <c r="N13" s="6" t="n">
        <v>6856</v>
      </c>
      <c r="O13" s="6" t="n">
        <v>-8818</v>
      </c>
      <c r="P13" s="5" t="s">
        <v>163</v>
      </c>
      <c r="Q13" s="5"/>
      <c r="R13" s="5"/>
      <c r="S13" s="6" t="n">
        <v>-2338</v>
      </c>
      <c r="T13" s="6" t="n">
        <v>376</v>
      </c>
    </row>
    <row r="14">
      <c r="A14" s="4" t="s">
        <v>67</v>
      </c>
      <c r="B14" s="5" t="s">
        <v>68</v>
      </c>
      <c r="C14" s="5"/>
      <c r="D14" s="5"/>
      <c r="E14" s="6" t="n">
        <v>-34</v>
      </c>
      <c r="F14" s="5" t="s">
        <v>68</v>
      </c>
      <c r="G14" s="5"/>
      <c r="H14" s="5"/>
      <c r="I14" s="6" t="n">
        <v>-33</v>
      </c>
      <c r="J14" s="6" t="n">
        <v>-1</v>
      </c>
      <c r="K14" s="5" t="s">
        <v>69</v>
      </c>
      <c r="L14" s="5"/>
      <c r="M14" s="5"/>
      <c r="N14" s="6" t="n">
        <v>1440</v>
      </c>
      <c r="O14" s="6" t="n">
        <v>-1475</v>
      </c>
      <c r="P14" s="5" t="s">
        <v>71</v>
      </c>
      <c r="Q14" s="5"/>
      <c r="R14" s="5"/>
      <c r="S14" s="6" t="n">
        <v>-1868</v>
      </c>
      <c r="T14" s="6" t="n">
        <v>1834</v>
      </c>
    </row>
    <row r="15">
      <c r="A15" s="4" t="s">
        <v>70</v>
      </c>
      <c r="B15" s="5" t="s">
        <v>71</v>
      </c>
      <c r="C15" s="5"/>
      <c r="D15" s="5"/>
      <c r="E15" s="6" t="n">
        <v>0</v>
      </c>
      <c r="F15" s="5" t="s">
        <v>71</v>
      </c>
      <c r="G15" s="5"/>
      <c r="H15" s="5"/>
      <c r="I15" s="6" t="n">
        <v>0</v>
      </c>
      <c r="J15" s="6" t="n">
        <v>0</v>
      </c>
      <c r="K15" s="5" t="s">
        <v>72</v>
      </c>
      <c r="L15" s="5"/>
      <c r="M15" s="5"/>
      <c r="N15" s="6" t="n">
        <v>0</v>
      </c>
      <c r="O15" s="6" t="n">
        <v>0</v>
      </c>
      <c r="P15" s="5" t="s">
        <v>71</v>
      </c>
      <c r="Q15" s="5"/>
      <c r="R15" s="5"/>
      <c r="S15" s="6" t="n">
        <v>0</v>
      </c>
      <c r="T15" s="6" t="n">
        <v>0</v>
      </c>
    </row>
    <row r="16">
      <c r="A16" s="4" t="s">
        <v>73</v>
      </c>
      <c r="B16" s="5" t="s">
        <v>74</v>
      </c>
      <c r="C16" s="5"/>
      <c r="D16" s="5"/>
      <c r="E16" s="6" t="n">
        <v>79</v>
      </c>
      <c r="F16" s="5" t="s">
        <v>71</v>
      </c>
      <c r="G16" s="5"/>
      <c r="H16" s="5"/>
      <c r="I16" s="6" t="n">
        <v>142</v>
      </c>
      <c r="J16" s="6" t="n">
        <v>-63</v>
      </c>
      <c r="K16" s="5" t="s">
        <v>71</v>
      </c>
      <c r="L16" s="5"/>
      <c r="M16" s="5"/>
      <c r="N16" s="6" t="n">
        <v>157</v>
      </c>
      <c r="O16" s="6" t="n">
        <v>-78</v>
      </c>
      <c r="P16" s="5" t="s">
        <v>71</v>
      </c>
      <c r="Q16" s="5"/>
      <c r="R16" s="5"/>
      <c r="S16" s="6" t="n">
        <v>132</v>
      </c>
      <c r="T16" s="6" t="n">
        <v>-54</v>
      </c>
    </row>
    <row r="17">
      <c r="A17" s="4" t="s">
        <v>75</v>
      </c>
      <c r="B17" s="5"/>
      <c r="C17" s="5"/>
      <c r="D17" s="5"/>
      <c r="E17" s="6" t="n">
        <v>-177</v>
      </c>
      <c r="F17" s="5"/>
      <c r="G17" s="5"/>
      <c r="H17" s="5"/>
      <c r="I17" s="6" t="n">
        <v>-206</v>
      </c>
      <c r="J17" s="6" t="n">
        <v>29</v>
      </c>
      <c r="K17" s="5"/>
      <c r="L17" s="5"/>
      <c r="M17" s="5"/>
      <c r="N17" s="6" t="n">
        <v>15</v>
      </c>
      <c r="O17" s="6" t="n">
        <v>-192</v>
      </c>
      <c r="P17" s="5"/>
      <c r="Q17" s="5"/>
      <c r="R17" s="5"/>
      <c r="S17" s="6" t="n">
        <v>-166</v>
      </c>
      <c r="T17" s="6" t="n">
        <v>-10</v>
      </c>
    </row>
    <row r="18">
      <c r="A18" s="4" t="s">
        <v>76</v>
      </c>
      <c r="B18" s="5"/>
      <c r="C18" s="5"/>
      <c r="D18" s="5"/>
      <c r="E18" s="6" t="n">
        <v>319</v>
      </c>
      <c r="F18" s="5"/>
      <c r="G18" s="5"/>
      <c r="H18" s="5"/>
      <c r="I18" s="6" t="n">
        <v>313</v>
      </c>
      <c r="J18" s="6" t="n">
        <v>6</v>
      </c>
      <c r="K18" s="5"/>
      <c r="L18" s="5"/>
      <c r="M18" s="5"/>
      <c r="N18" s="6" t="n">
        <v>-1190</v>
      </c>
      <c r="O18" s="6" t="n">
        <v>1509</v>
      </c>
      <c r="P18" s="5"/>
      <c r="Q18" s="5"/>
      <c r="R18" s="5"/>
      <c r="S18" s="6" t="n">
        <v>-493</v>
      </c>
      <c r="T18" s="6" t="n">
        <v>812</v>
      </c>
    </row>
    <row r="19">
      <c r="A19" s="4" t="s">
        <v>77</v>
      </c>
      <c r="B19" s="5"/>
      <c r="C19" s="5"/>
      <c r="D19" s="5"/>
      <c r="E19" s="6" t="n">
        <v>453</v>
      </c>
      <c r="F19" s="5"/>
      <c r="G19" s="5"/>
      <c r="H19" s="5"/>
      <c r="I19" s="6" t="n">
        <v>509</v>
      </c>
      <c r="J19" s="6" t="n">
        <v>-56</v>
      </c>
      <c r="K19" s="5"/>
      <c r="L19" s="5"/>
      <c r="M19" s="5"/>
      <c r="N19" s="6" t="n">
        <v>100</v>
      </c>
      <c r="O19" s="6" t="n">
        <v>352</v>
      </c>
      <c r="P19" s="5"/>
      <c r="Q19" s="5"/>
      <c r="R19" s="5"/>
      <c r="S19" s="6" t="n">
        <v>463</v>
      </c>
      <c r="T19" s="6" t="n">
        <v>-10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78</v>
      </c>
      <c r="B21" s="3" t="s">
        <v>79</v>
      </c>
      <c r="C21" s="3"/>
      <c r="D21" s="3"/>
      <c r="E21" s="3" t="s">
        <v>26</v>
      </c>
      <c r="F21" s="3" t="s">
        <v>80</v>
      </c>
      <c r="G21" s="3"/>
      <c r="H21" s="3"/>
      <c r="I21" s="3" t="s">
        <v>26</v>
      </c>
      <c r="J21" s="3" t="s">
        <v>27</v>
      </c>
      <c r="K21" s="3" t="s">
        <v>80</v>
      </c>
      <c r="L21" s="3"/>
      <c r="M21" s="3"/>
      <c r="N21" s="3" t="s">
        <v>26</v>
      </c>
      <c r="O21" s="3" t="s">
        <v>27</v>
      </c>
      <c r="P21" s="3" t="s">
        <v>80</v>
      </c>
      <c r="Q21" s="3"/>
      <c r="R21" s="3"/>
      <c r="S21" s="3" t="s">
        <v>26</v>
      </c>
      <c r="T21" s="3" t="s">
        <v>27</v>
      </c>
    </row>
    <row r="22">
      <c r="A22" s="4" t="s">
        <v>81</v>
      </c>
      <c r="B22" s="9" t="n">
        <v>9.1</v>
      </c>
      <c r="C22" s="2"/>
      <c r="D22" s="2"/>
      <c r="E22" s="11" t="str">
        <f>510045-SUM(E23:E33)</f>
      </c>
      <c r="F22" s="9" t="n">
        <v>7.83</v>
      </c>
      <c r="G22" s="5"/>
      <c r="H22" s="5"/>
      <c r="I22" s="10" t="str">
        <f>318825-SUM(I23:I33)</f>
      </c>
      <c r="J22" s="10" t="str">
        <f>E22-I22</f>
      </c>
      <c r="K22" s="9" t="n">
        <v>8.29</v>
      </c>
      <c r="L22" s="5"/>
      <c r="M22" s="5"/>
      <c r="N22" s="10" t="str">
        <f>402141-SUM(N23:N33)</f>
      </c>
      <c r="O22" s="10" t="str">
        <f>E22-N22</f>
      </c>
      <c r="P22" s="9" t="n">
        <v>8.76</v>
      </c>
      <c r="Q22" s="5"/>
      <c r="R22" s="5"/>
      <c r="S22" s="10" t="str">
        <f>518975-SUM(S23:S33)</f>
      </c>
      <c r="T22" s="10" t="str">
        <f>E22-S22</f>
      </c>
    </row>
    <row r="23">
      <c r="A23" s="4" t="s">
        <v>82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83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84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85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86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87</v>
      </c>
      <c r="B34" s="5"/>
      <c r="C34" s="5"/>
      <c r="D34" s="5"/>
      <c r="E34" s="6" t="n">
        <v>2664298</v>
      </c>
      <c r="F34" s="5"/>
      <c r="G34" s="5"/>
      <c r="H34" s="5"/>
      <c r="I34" s="5"/>
      <c r="J34" s="6" t="n">
        <v>293344</v>
      </c>
      <c r="K34" s="5"/>
      <c r="L34" s="5"/>
      <c r="M34" s="5"/>
      <c r="N34" s="5"/>
      <c r="O34" s="6" t="n">
        <v>-70656</v>
      </c>
      <c r="P34" s="5"/>
      <c r="Q34" s="5"/>
      <c r="R34" s="5"/>
      <c r="S34" s="5"/>
      <c r="T34" s="6" t="n">
        <v>263344</v>
      </c>
    </row>
    <row r="35">
      <c r="A35" s="4" t="s">
        <v>88</v>
      </c>
      <c r="B35" s="5"/>
      <c r="C35" s="5"/>
      <c r="D35" s="5"/>
      <c r="E35" s="5"/>
      <c r="F35" s="5"/>
      <c r="G35" s="5"/>
      <c r="H35" s="5"/>
      <c r="I35" s="5"/>
      <c r="J35" s="12" t="n">
        <v>0.102</v>
      </c>
      <c r="K35" s="5"/>
      <c r="L35" s="5"/>
      <c r="M35" s="5"/>
      <c r="N35" s="5"/>
      <c r="O35" s="12" t="n">
        <v>-0.022</v>
      </c>
      <c r="P35" s="5"/>
      <c r="Q35" s="5"/>
      <c r="R35" s="5"/>
      <c r="S35" s="5"/>
      <c r="T35" s="12" t="n">
        <v>0.09</v>
      </c>
    </row>
    <row r="36">
      <c r="A36" s="4" t="s">
        <v>89</v>
      </c>
      <c r="B36" s="5"/>
      <c r="C36" s="5"/>
      <c r="D36" s="5"/>
      <c r="E36" s="5"/>
      <c r="F36" s="5"/>
      <c r="G36" s="5"/>
      <c r="H36" s="5"/>
      <c r="I36" s="5"/>
      <c r="J36" s="12" t="n">
        <v>0.114</v>
      </c>
      <c r="K36" s="5"/>
      <c r="L36" s="5"/>
      <c r="M36" s="5"/>
      <c r="N36" s="5"/>
      <c r="O36" s="12" t="n">
        <v>0.115</v>
      </c>
      <c r="P36" s="5"/>
      <c r="Q36" s="5"/>
      <c r="R36" s="5"/>
      <c r="S36" s="5"/>
      <c r="T36" s="12" t="n">
        <v>0.128</v>
      </c>
    </row>
    <row r="37">
      <c r="A37" s="14" t="s">
        <v>90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91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165</v>
      </c>
      <c r="G2" s="2"/>
      <c r="H2" s="2"/>
      <c r="I2" s="2"/>
      <c r="J2" s="2"/>
      <c r="K2" s="2" t="s">
        <v>166</v>
      </c>
      <c r="L2" s="2"/>
      <c r="M2" s="2"/>
      <c r="N2" s="2"/>
      <c r="O2" s="2"/>
      <c r="P2" s="2" t="s">
        <v>167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168</v>
      </c>
      <c r="G3" s="3"/>
      <c r="H3" s="3"/>
      <c r="I3" s="3"/>
      <c r="J3" s="3"/>
      <c r="K3" s="3" t="s">
        <v>169</v>
      </c>
      <c r="L3" s="3"/>
      <c r="M3" s="3"/>
      <c r="N3" s="3"/>
      <c r="O3" s="3"/>
      <c r="P3" s="3" t="s">
        <v>170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171</v>
      </c>
      <c r="G4" s="5" t="s">
        <v>172</v>
      </c>
      <c r="H4" s="5" t="n">
        <v>21</v>
      </c>
      <c r="I4" s="5" t="s">
        <v>173</v>
      </c>
      <c r="J4" s="5"/>
      <c r="K4" s="5" t="s">
        <v>174</v>
      </c>
      <c r="L4" s="5" t="s">
        <v>175</v>
      </c>
      <c r="M4" s="5" t="n">
        <v>10</v>
      </c>
      <c r="N4" s="5" t="s">
        <v>143</v>
      </c>
      <c r="O4" s="5"/>
      <c r="P4" s="5" t="s">
        <v>176</v>
      </c>
      <c r="Q4" s="5" t="s">
        <v>177</v>
      </c>
      <c r="R4" s="5" t="n">
        <v>22</v>
      </c>
      <c r="S4" s="5" t="s">
        <v>178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2886000</v>
      </c>
      <c r="G5" s="6" t="n">
        <v>0</v>
      </c>
      <c r="H5" s="6" t="str">
        <f>F5-G5</f>
      </c>
      <c r="I5" s="5"/>
      <c r="J5" s="5"/>
      <c r="K5" s="6" t="n">
        <v>3621000</v>
      </c>
      <c r="L5" s="6" t="n">
        <v>0</v>
      </c>
      <c r="M5" s="6" t="str">
        <f>K5-L5</f>
      </c>
      <c r="N5" s="5"/>
      <c r="O5" s="5"/>
      <c r="P5" s="6" t="n">
        <v>2808000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179</v>
      </c>
      <c r="G8" s="5" t="n">
        <v>156</v>
      </c>
      <c r="H8" s="5" t="n">
        <v>21</v>
      </c>
      <c r="I8" s="5"/>
      <c r="J8" s="5"/>
      <c r="K8" s="5" t="s">
        <v>180</v>
      </c>
      <c r="L8" s="5" t="n">
        <v>147</v>
      </c>
      <c r="M8" s="5" t="n">
        <v>10</v>
      </c>
      <c r="N8" s="5"/>
      <c r="O8" s="5"/>
      <c r="P8" s="5" t="s">
        <v>181</v>
      </c>
      <c r="Q8" s="5" t="n">
        <v>264</v>
      </c>
      <c r="R8" s="5" t="n">
        <v>22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2659832</v>
      </c>
      <c r="F9" s="5" t="s">
        <v>182</v>
      </c>
      <c r="G9" s="5" t="s">
        <v>115</v>
      </c>
      <c r="H9" s="5" t="s">
        <v>183</v>
      </c>
      <c r="I9" s="7" t="n">
        <v>2417378</v>
      </c>
      <c r="J9" s="8" t="n">
        <v>242454</v>
      </c>
      <c r="K9" s="5" t="s">
        <v>184</v>
      </c>
      <c r="L9" s="5" t="s">
        <v>185</v>
      </c>
      <c r="M9" s="5" t="s">
        <v>186</v>
      </c>
      <c r="N9" s="7" t="n">
        <v>2724519</v>
      </c>
      <c r="O9" s="8" t="n">
        <v>-64687</v>
      </c>
      <c r="P9" s="5" t="s">
        <v>111</v>
      </c>
      <c r="Q9" s="5" t="s">
        <v>185</v>
      </c>
      <c r="R9" s="5" t="s">
        <v>40</v>
      </c>
      <c r="S9" s="7" t="n">
        <v>2527141</v>
      </c>
      <c r="T9" s="8" t="n">
        <v>132691</v>
      </c>
    </row>
    <row r="10">
      <c r="A10" s="4" t="s">
        <v>47</v>
      </c>
      <c r="B10" s="5" t="s">
        <v>48</v>
      </c>
      <c r="C10" s="5"/>
      <c r="D10" s="5"/>
      <c r="E10" s="7" t="n">
        <v>741</v>
      </c>
      <c r="F10" s="5" t="s">
        <v>187</v>
      </c>
      <c r="G10" s="5"/>
      <c r="H10" s="5"/>
      <c r="I10" s="7" t="n">
        <v>484</v>
      </c>
      <c r="J10" s="8" t="n">
        <v>257</v>
      </c>
      <c r="K10" s="5" t="s">
        <v>188</v>
      </c>
      <c r="L10" s="5"/>
      <c r="M10" s="5"/>
      <c r="N10" s="7" t="n">
        <v>762</v>
      </c>
      <c r="O10" s="8" t="n">
        <v>-21</v>
      </c>
      <c r="P10" s="5" t="s">
        <v>189</v>
      </c>
      <c r="Q10" s="5"/>
      <c r="R10" s="5"/>
      <c r="S10" s="7" t="n">
        <v>987</v>
      </c>
      <c r="T10" s="8" t="n">
        <v>-246</v>
      </c>
    </row>
    <row r="11">
      <c r="A11" s="4" t="s">
        <v>52</v>
      </c>
      <c r="B11" s="5" t="s">
        <v>53</v>
      </c>
      <c r="C11" s="5"/>
      <c r="D11" s="5"/>
      <c r="E11" s="7" t="n">
        <v>2120</v>
      </c>
      <c r="F11" s="5" t="s">
        <v>71</v>
      </c>
      <c r="G11" s="5"/>
      <c r="H11" s="5"/>
      <c r="I11" s="7" t="n">
        <v>3314</v>
      </c>
      <c r="J11" s="8" t="n">
        <v>-1194</v>
      </c>
      <c r="K11" s="5" t="s">
        <v>190</v>
      </c>
      <c r="L11" s="5"/>
      <c r="M11" s="5"/>
      <c r="N11" s="7" t="n">
        <v>-8529</v>
      </c>
      <c r="O11" s="8" t="n">
        <v>10649</v>
      </c>
      <c r="P11" s="5" t="s">
        <v>191</v>
      </c>
      <c r="Q11" s="5"/>
      <c r="R11" s="5"/>
      <c r="S11" s="7" t="n">
        <v>1141</v>
      </c>
      <c r="T11" s="8" t="n">
        <v>979</v>
      </c>
    </row>
    <row r="12">
      <c r="A12" s="4" t="s">
        <v>57</v>
      </c>
      <c r="B12" s="5" t="s">
        <v>58</v>
      </c>
      <c r="C12" s="5"/>
      <c r="D12" s="5"/>
      <c r="E12" s="6" t="n">
        <v>2928</v>
      </c>
      <c r="F12" s="5" t="s">
        <v>192</v>
      </c>
      <c r="G12" s="5"/>
      <c r="H12" s="5"/>
      <c r="I12" s="6" t="n">
        <v>2126</v>
      </c>
      <c r="J12" s="6" t="n">
        <v>802</v>
      </c>
      <c r="K12" s="5" t="s">
        <v>193</v>
      </c>
      <c r="L12" s="5"/>
      <c r="M12" s="5"/>
      <c r="N12" s="6" t="n">
        <v>2434</v>
      </c>
      <c r="O12" s="6" t="n">
        <v>494</v>
      </c>
      <c r="P12" s="5" t="s">
        <v>194</v>
      </c>
      <c r="Q12" s="5"/>
      <c r="R12" s="5"/>
      <c r="S12" s="6" t="n">
        <v>1800</v>
      </c>
      <c r="T12" s="6" t="n">
        <v>1128</v>
      </c>
    </row>
    <row r="13">
      <c r="A13" s="4" t="s">
        <v>62</v>
      </c>
      <c r="B13" s="5" t="s">
        <v>63</v>
      </c>
      <c r="C13" s="5"/>
      <c r="D13" s="5"/>
      <c r="E13" s="6" t="n">
        <v>-1963</v>
      </c>
      <c r="F13" s="5" t="s">
        <v>195</v>
      </c>
      <c r="G13" s="5"/>
      <c r="H13" s="5"/>
      <c r="I13" s="6" t="n">
        <v>-4164</v>
      </c>
      <c r="J13" s="6" t="n">
        <v>2201</v>
      </c>
      <c r="K13" s="5" t="s">
        <v>196</v>
      </c>
      <c r="L13" s="5"/>
      <c r="M13" s="5"/>
      <c r="N13" s="6" t="n">
        <v>7446</v>
      </c>
      <c r="O13" s="6" t="n">
        <v>-9409</v>
      </c>
      <c r="P13" s="5" t="s">
        <v>197</v>
      </c>
      <c r="Q13" s="5"/>
      <c r="R13" s="5"/>
      <c r="S13" s="6" t="n">
        <v>-2125</v>
      </c>
      <c r="T13" s="6" t="n">
        <v>162</v>
      </c>
    </row>
    <row r="14">
      <c r="A14" s="4" t="s">
        <v>67</v>
      </c>
      <c r="B14" s="5" t="s">
        <v>68</v>
      </c>
      <c r="C14" s="5"/>
      <c r="D14" s="5"/>
      <c r="E14" s="6" t="n">
        <v>-34</v>
      </c>
      <c r="F14" s="5" t="s">
        <v>68</v>
      </c>
      <c r="G14" s="5"/>
      <c r="H14" s="5"/>
      <c r="I14" s="6" t="n">
        <v>-31</v>
      </c>
      <c r="J14" s="6" t="n">
        <v>-3</v>
      </c>
      <c r="K14" s="5" t="s">
        <v>198</v>
      </c>
      <c r="L14" s="5"/>
      <c r="M14" s="5"/>
      <c r="N14" s="6" t="n">
        <v>2112</v>
      </c>
      <c r="O14" s="6" t="n">
        <v>-2147</v>
      </c>
      <c r="P14" s="5" t="s">
        <v>68</v>
      </c>
      <c r="Q14" s="5"/>
      <c r="R14" s="5"/>
      <c r="S14" s="6" t="n">
        <v>-33</v>
      </c>
      <c r="T14" s="6" t="n">
        <v>-2</v>
      </c>
    </row>
    <row r="15">
      <c r="A15" s="4" t="s">
        <v>70</v>
      </c>
      <c r="B15" s="5" t="s">
        <v>71</v>
      </c>
      <c r="C15" s="5"/>
      <c r="D15" s="5"/>
      <c r="E15" s="6" t="n">
        <v>0</v>
      </c>
      <c r="F15" s="5" t="s">
        <v>71</v>
      </c>
      <c r="G15" s="5"/>
      <c r="H15" s="5"/>
      <c r="I15" s="6" t="n">
        <v>0</v>
      </c>
      <c r="J15" s="6" t="n">
        <v>0</v>
      </c>
      <c r="K15" s="5" t="s">
        <v>199</v>
      </c>
      <c r="L15" s="5"/>
      <c r="M15" s="5"/>
      <c r="N15" s="6" t="n">
        <v>0</v>
      </c>
      <c r="O15" s="6" t="n">
        <v>0</v>
      </c>
      <c r="P15" s="5" t="s">
        <v>71</v>
      </c>
      <c r="Q15" s="5"/>
      <c r="R15" s="5"/>
      <c r="S15" s="6" t="n">
        <v>0</v>
      </c>
      <c r="T15" s="6" t="n">
        <v>0</v>
      </c>
    </row>
    <row r="16">
      <c r="A16" s="4" t="s">
        <v>73</v>
      </c>
      <c r="B16" s="5" t="s">
        <v>74</v>
      </c>
      <c r="C16" s="5"/>
      <c r="D16" s="5"/>
      <c r="E16" s="6" t="n">
        <v>79</v>
      </c>
      <c r="F16" s="5" t="s">
        <v>200</v>
      </c>
      <c r="G16" s="5"/>
      <c r="H16" s="5"/>
      <c r="I16" s="6" t="n">
        <v>-936</v>
      </c>
      <c r="J16" s="6" t="n">
        <v>1014</v>
      </c>
      <c r="K16" s="5" t="s">
        <v>71</v>
      </c>
      <c r="L16" s="5"/>
      <c r="M16" s="5"/>
      <c r="N16" s="6" t="n">
        <v>151</v>
      </c>
      <c r="O16" s="6" t="n">
        <v>-72</v>
      </c>
      <c r="P16" s="5" t="s">
        <v>71</v>
      </c>
      <c r="Q16" s="5"/>
      <c r="R16" s="5"/>
      <c r="S16" s="6" t="n">
        <v>140</v>
      </c>
      <c r="T16" s="6" t="n">
        <v>-61</v>
      </c>
    </row>
    <row r="17">
      <c r="A17" s="4" t="s">
        <v>75</v>
      </c>
      <c r="B17" s="5"/>
      <c r="C17" s="5"/>
      <c r="D17" s="5"/>
      <c r="E17" s="6" t="n">
        <v>-177</v>
      </c>
      <c r="F17" s="5"/>
      <c r="G17" s="5"/>
      <c r="H17" s="5"/>
      <c r="I17" s="6" t="n">
        <v>-202</v>
      </c>
      <c r="J17" s="6" t="n">
        <v>25</v>
      </c>
      <c r="K17" s="5"/>
      <c r="L17" s="5"/>
      <c r="M17" s="5"/>
      <c r="N17" s="6" t="n">
        <v>34</v>
      </c>
      <c r="O17" s="6" t="n">
        <v>-210</v>
      </c>
      <c r="P17" s="5"/>
      <c r="Q17" s="5"/>
      <c r="R17" s="5"/>
      <c r="S17" s="6" t="n">
        <v>-207</v>
      </c>
      <c r="T17" s="6" t="n">
        <v>30</v>
      </c>
    </row>
    <row r="18">
      <c r="A18" s="4" t="s">
        <v>76</v>
      </c>
      <c r="B18" s="5"/>
      <c r="C18" s="5"/>
      <c r="D18" s="5"/>
      <c r="E18" s="6" t="n">
        <v>319</v>
      </c>
      <c r="F18" s="5"/>
      <c r="G18" s="5"/>
      <c r="H18" s="5"/>
      <c r="I18" s="6" t="n">
        <v>290</v>
      </c>
      <c r="J18" s="6" t="n">
        <v>29</v>
      </c>
      <c r="K18" s="5"/>
      <c r="L18" s="5"/>
      <c r="M18" s="5"/>
      <c r="N18" s="6" t="n">
        <v>-1257</v>
      </c>
      <c r="O18" s="6" t="n">
        <v>1576</v>
      </c>
      <c r="P18" s="5"/>
      <c r="Q18" s="5"/>
      <c r="R18" s="5"/>
      <c r="S18" s="6" t="n">
        <v>306</v>
      </c>
      <c r="T18" s="6" t="n">
        <v>13</v>
      </c>
    </row>
    <row r="19">
      <c r="A19" s="4" t="s">
        <v>77</v>
      </c>
      <c r="B19" s="5"/>
      <c r="C19" s="5"/>
      <c r="D19" s="5"/>
      <c r="E19" s="6" t="n">
        <v>453</v>
      </c>
      <c r="F19" s="5"/>
      <c r="G19" s="5"/>
      <c r="H19" s="5"/>
      <c r="I19" s="6" t="n">
        <v>629</v>
      </c>
      <c r="J19" s="6" t="n">
        <v>-177</v>
      </c>
      <c r="K19" s="5"/>
      <c r="L19" s="5"/>
      <c r="M19" s="5"/>
      <c r="N19" s="6" t="n">
        <v>2205</v>
      </c>
      <c r="O19" s="6" t="n">
        <v>-1752</v>
      </c>
      <c r="P19" s="5"/>
      <c r="Q19" s="5"/>
      <c r="R19" s="5"/>
      <c r="S19" s="6" t="n">
        <v>456</v>
      </c>
      <c r="T19" s="6" t="n">
        <v>-3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78</v>
      </c>
      <c r="B21" s="3" t="s">
        <v>79</v>
      </c>
      <c r="C21" s="3"/>
      <c r="D21" s="3"/>
      <c r="E21" s="3" t="s">
        <v>26</v>
      </c>
      <c r="F21" s="3" t="s">
        <v>80</v>
      </c>
      <c r="G21" s="3"/>
      <c r="H21" s="3"/>
      <c r="I21" s="3" t="s">
        <v>26</v>
      </c>
      <c r="J21" s="3" t="s">
        <v>27</v>
      </c>
      <c r="K21" s="3" t="s">
        <v>80</v>
      </c>
      <c r="L21" s="3"/>
      <c r="M21" s="3"/>
      <c r="N21" s="3" t="s">
        <v>26</v>
      </c>
      <c r="O21" s="3" t="s">
        <v>27</v>
      </c>
      <c r="P21" s="3" t="s">
        <v>80</v>
      </c>
      <c r="Q21" s="3"/>
      <c r="R21" s="3"/>
      <c r="S21" s="3" t="s">
        <v>26</v>
      </c>
      <c r="T21" s="3" t="s">
        <v>27</v>
      </c>
    </row>
    <row r="22">
      <c r="A22" s="4" t="s">
        <v>81</v>
      </c>
      <c r="B22" s="9" t="n">
        <v>9.1</v>
      </c>
      <c r="C22" s="2"/>
      <c r="D22" s="2"/>
      <c r="E22" s="11" t="str">
        <f>510045-SUM(E23:E33)</f>
      </c>
      <c r="F22" s="9" t="n">
        <v>8.6</v>
      </c>
      <c r="G22" s="5"/>
      <c r="H22" s="5"/>
      <c r="I22" s="10" t="str">
        <f>467110-SUM(I23:I33)</f>
      </c>
      <c r="J22" s="10" t="str">
        <f>E22-I22</f>
      </c>
      <c r="K22" s="9" t="n">
        <v>9.6</v>
      </c>
      <c r="L22" s="5"/>
      <c r="M22" s="5"/>
      <c r="N22" s="10" t="str">
        <f>891124-SUM(N23:N33)</f>
      </c>
      <c r="O22" s="10" t="str">
        <f>E22-N22</f>
      </c>
      <c r="P22" s="9" t="n">
        <v>7.55</v>
      </c>
      <c r="Q22" s="5"/>
      <c r="R22" s="5"/>
      <c r="S22" s="10" t="str">
        <f>278394-SUM(S23:S33)</f>
      </c>
      <c r="T22" s="10" t="str">
        <f>E22-S22</f>
      </c>
    </row>
    <row r="23">
      <c r="A23" s="4" t="s">
        <v>82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83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84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85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86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87</v>
      </c>
      <c r="B34" s="5"/>
      <c r="C34" s="5"/>
      <c r="D34" s="5"/>
      <c r="E34" s="6" t="n">
        <v>2664298</v>
      </c>
      <c r="F34" s="5"/>
      <c r="G34" s="5"/>
      <c r="H34" s="5"/>
      <c r="I34" s="5"/>
      <c r="J34" s="6" t="n">
        <v>288344</v>
      </c>
      <c r="K34" s="5"/>
      <c r="L34" s="5"/>
      <c r="M34" s="5"/>
      <c r="N34" s="5"/>
      <c r="O34" s="6" t="n">
        <v>-446656</v>
      </c>
      <c r="P34" s="5"/>
      <c r="Q34" s="5"/>
      <c r="R34" s="5"/>
      <c r="S34" s="5"/>
      <c r="T34" s="6" t="n">
        <v>366344</v>
      </c>
    </row>
    <row r="35">
      <c r="A35" s="4" t="s">
        <v>88</v>
      </c>
      <c r="B35" s="5"/>
      <c r="C35" s="5"/>
      <c r="D35" s="5"/>
      <c r="E35" s="5"/>
      <c r="F35" s="5"/>
      <c r="G35" s="5"/>
      <c r="H35" s="5"/>
      <c r="I35" s="5"/>
      <c r="J35" s="12" t="n">
        <v>0.1</v>
      </c>
      <c r="K35" s="5"/>
      <c r="L35" s="5"/>
      <c r="M35" s="5"/>
      <c r="N35" s="5"/>
      <c r="O35" s="12" t="n">
        <v>-0.123</v>
      </c>
      <c r="P35" s="5"/>
      <c r="Q35" s="5"/>
      <c r="R35" s="5"/>
      <c r="S35" s="5"/>
      <c r="T35" s="12" t="n">
        <v>0.13</v>
      </c>
    </row>
    <row r="36">
      <c r="A36" s="4" t="s">
        <v>89</v>
      </c>
      <c r="B36" s="5"/>
      <c r="C36" s="5"/>
      <c r="D36" s="5"/>
      <c r="E36" s="5"/>
      <c r="F36" s="5"/>
      <c r="G36" s="5"/>
      <c r="H36" s="5"/>
      <c r="I36" s="5"/>
      <c r="J36" s="12" t="n">
        <v>0.129</v>
      </c>
      <c r="K36" s="5"/>
      <c r="L36" s="5"/>
      <c r="M36" s="5"/>
      <c r="N36" s="5"/>
      <c r="O36" s="12" t="n">
        <v>0.136</v>
      </c>
      <c r="P36" s="5"/>
      <c r="Q36" s="5"/>
      <c r="R36" s="5"/>
      <c r="S36" s="5"/>
      <c r="T36" s="12" t="n">
        <v>0.147</v>
      </c>
    </row>
    <row r="37">
      <c r="A37" s="14" t="s">
        <v>90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91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202</v>
      </c>
      <c r="G2" s="2"/>
      <c r="H2" s="2"/>
      <c r="I2" s="2"/>
      <c r="J2" s="2"/>
      <c r="K2" s="2" t="s">
        <v>203</v>
      </c>
      <c r="L2" s="2"/>
      <c r="M2" s="2"/>
      <c r="N2" s="2"/>
      <c r="O2" s="2"/>
      <c r="P2" s="2" t="s">
        <v>204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205</v>
      </c>
      <c r="G3" s="3"/>
      <c r="H3" s="3"/>
      <c r="I3" s="3"/>
      <c r="J3" s="3"/>
      <c r="K3" s="3" t="s">
        <v>206</v>
      </c>
      <c r="L3" s="3"/>
      <c r="M3" s="3"/>
      <c r="N3" s="3"/>
      <c r="O3" s="3"/>
      <c r="P3" s="3" t="s">
        <v>207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208</v>
      </c>
      <c r="G4" s="5" t="s">
        <v>209</v>
      </c>
      <c r="H4" s="5" t="n">
        <v>25</v>
      </c>
      <c r="I4" s="5" t="s">
        <v>210</v>
      </c>
      <c r="J4" s="5"/>
      <c r="K4" s="5" t="s">
        <v>211</v>
      </c>
      <c r="L4" s="5" t="s">
        <v>212</v>
      </c>
      <c r="M4" s="5" t="n">
        <v>15</v>
      </c>
      <c r="N4" s="5" t="s">
        <v>213</v>
      </c>
      <c r="O4" s="5"/>
      <c r="P4" s="5" t="s">
        <v>214</v>
      </c>
      <c r="Q4" s="5" t="s">
        <v>215</v>
      </c>
      <c r="R4" s="5" t="n">
        <v>37</v>
      </c>
      <c r="S4" s="5" t="s">
        <v>216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3721000</v>
      </c>
      <c r="G5" s="6" t="n">
        <v>0</v>
      </c>
      <c r="H5" s="6" t="str">
        <f>F5-G5</f>
      </c>
      <c r="I5" s="5"/>
      <c r="J5" s="5"/>
      <c r="K5" s="6" t="n">
        <v>3784000</v>
      </c>
      <c r="L5" s="6" t="n">
        <v>0</v>
      </c>
      <c r="M5" s="6" t="str">
        <f>K5-L5</f>
      </c>
      <c r="N5" s="5"/>
      <c r="O5" s="5"/>
      <c r="P5" s="6" t="n">
        <v>3703000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217</v>
      </c>
      <c r="G8" s="5" t="n">
        <v>246</v>
      </c>
      <c r="H8" s="5" t="n">
        <v>25</v>
      </c>
      <c r="I8" s="5"/>
      <c r="J8" s="5"/>
      <c r="K8" s="5" t="s">
        <v>218</v>
      </c>
      <c r="L8" s="5" t="n">
        <v>105</v>
      </c>
      <c r="M8" s="5" t="n">
        <v>15</v>
      </c>
      <c r="N8" s="5"/>
      <c r="O8" s="5"/>
      <c r="P8" s="5" t="s">
        <v>219</v>
      </c>
      <c r="Q8" s="5" t="n">
        <v>127</v>
      </c>
      <c r="R8" s="5" t="n">
        <v>37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2659832</v>
      </c>
      <c r="F9" s="5" t="s">
        <v>111</v>
      </c>
      <c r="G9" s="5" t="s">
        <v>220</v>
      </c>
      <c r="H9" s="5" t="s">
        <v>40</v>
      </c>
      <c r="I9" s="7" t="n">
        <v>2802973</v>
      </c>
      <c r="J9" s="8" t="n">
        <v>-143141</v>
      </c>
      <c r="K9" s="5" t="s">
        <v>221</v>
      </c>
      <c r="L9" s="5" t="s">
        <v>222</v>
      </c>
      <c r="M9" s="5" t="s">
        <v>40</v>
      </c>
      <c r="N9" s="7" t="n">
        <v>2731513</v>
      </c>
      <c r="O9" s="8" t="n">
        <v>-71681</v>
      </c>
      <c r="P9" s="5" t="s">
        <v>223</v>
      </c>
      <c r="Q9" s="5" t="s">
        <v>45</v>
      </c>
      <c r="R9" s="5" t="s">
        <v>224</v>
      </c>
      <c r="S9" s="7" t="n">
        <v>3098546</v>
      </c>
      <c r="T9" s="8" t="n">
        <v>-438714</v>
      </c>
    </row>
    <row r="10">
      <c r="A10" s="4" t="s">
        <v>47</v>
      </c>
      <c r="B10" s="5" t="s">
        <v>48</v>
      </c>
      <c r="C10" s="5"/>
      <c r="D10" s="5"/>
      <c r="E10" s="7" t="n">
        <v>741</v>
      </c>
      <c r="F10" s="5" t="s">
        <v>225</v>
      </c>
      <c r="G10" s="5"/>
      <c r="H10" s="5"/>
      <c r="I10" s="7" t="n">
        <v>913</v>
      </c>
      <c r="J10" s="8" t="n">
        <v>-172</v>
      </c>
      <c r="K10" s="5" t="s">
        <v>226</v>
      </c>
      <c r="L10" s="5"/>
      <c r="M10" s="5"/>
      <c r="N10" s="7" t="n">
        <v>1084</v>
      </c>
      <c r="O10" s="8" t="n">
        <v>-343</v>
      </c>
      <c r="P10" s="5" t="s">
        <v>227</v>
      </c>
      <c r="Q10" s="5"/>
      <c r="R10" s="5"/>
      <c r="S10" s="7" t="n">
        <v>1095</v>
      </c>
      <c r="T10" s="8" t="n">
        <v>-354</v>
      </c>
    </row>
    <row r="11">
      <c r="A11" s="4" t="s">
        <v>52</v>
      </c>
      <c r="B11" s="5" t="s">
        <v>53</v>
      </c>
      <c r="C11" s="5"/>
      <c r="D11" s="5"/>
      <c r="E11" s="7" t="n">
        <v>2120</v>
      </c>
      <c r="F11" s="5" t="s">
        <v>228</v>
      </c>
      <c r="G11" s="5"/>
      <c r="H11" s="5"/>
      <c r="I11" s="7" t="n">
        <v>594</v>
      </c>
      <c r="J11" s="8" t="n">
        <v>1526</v>
      </c>
      <c r="K11" s="5" t="s">
        <v>229</v>
      </c>
      <c r="L11" s="5"/>
      <c r="M11" s="5"/>
      <c r="N11" s="7" t="n">
        <v>-1310</v>
      </c>
      <c r="O11" s="8" t="n">
        <v>3430</v>
      </c>
      <c r="P11" s="5" t="s">
        <v>230</v>
      </c>
      <c r="Q11" s="5"/>
      <c r="R11" s="5"/>
      <c r="S11" s="7" t="n">
        <v>1584</v>
      </c>
      <c r="T11" s="8" t="n">
        <v>536</v>
      </c>
    </row>
    <row r="12">
      <c r="A12" s="4" t="s">
        <v>57</v>
      </c>
      <c r="B12" s="5" t="s">
        <v>58</v>
      </c>
      <c r="C12" s="5"/>
      <c r="D12" s="5"/>
      <c r="E12" s="6" t="n">
        <v>2928</v>
      </c>
      <c r="F12" s="5" t="s">
        <v>231</v>
      </c>
      <c r="G12" s="5"/>
      <c r="H12" s="5"/>
      <c r="I12" s="6" t="n">
        <v>2075</v>
      </c>
      <c r="J12" s="6" t="n">
        <v>854</v>
      </c>
      <c r="K12" s="5" t="s">
        <v>232</v>
      </c>
      <c r="L12" s="5"/>
      <c r="M12" s="5"/>
      <c r="N12" s="6" t="n">
        <v>2618</v>
      </c>
      <c r="O12" s="6" t="n">
        <v>311</v>
      </c>
      <c r="P12" s="5" t="s">
        <v>233</v>
      </c>
      <c r="Q12" s="5"/>
      <c r="R12" s="5"/>
      <c r="S12" s="6" t="n">
        <v>2864</v>
      </c>
      <c r="T12" s="6" t="n">
        <v>64</v>
      </c>
    </row>
    <row r="13">
      <c r="A13" s="4" t="s">
        <v>62</v>
      </c>
      <c r="B13" s="5" t="s">
        <v>63</v>
      </c>
      <c r="C13" s="5"/>
      <c r="D13" s="5"/>
      <c r="E13" s="6" t="n">
        <v>-1963</v>
      </c>
      <c r="F13" s="5" t="s">
        <v>234</v>
      </c>
      <c r="G13" s="5"/>
      <c r="H13" s="5"/>
      <c r="I13" s="6" t="n">
        <v>1684</v>
      </c>
      <c r="J13" s="6" t="n">
        <v>-3647</v>
      </c>
      <c r="K13" s="5" t="s">
        <v>235</v>
      </c>
      <c r="L13" s="5"/>
      <c r="M13" s="5"/>
      <c r="N13" s="6" t="n">
        <v>2437</v>
      </c>
      <c r="O13" s="6" t="n">
        <v>-4400</v>
      </c>
      <c r="P13" s="5" t="s">
        <v>236</v>
      </c>
      <c r="Q13" s="5"/>
      <c r="R13" s="5"/>
      <c r="S13" s="6" t="n">
        <v>5293</v>
      </c>
      <c r="T13" s="6" t="n">
        <v>-7256</v>
      </c>
    </row>
    <row r="14">
      <c r="A14" s="4" t="s">
        <v>67</v>
      </c>
      <c r="B14" s="5" t="s">
        <v>68</v>
      </c>
      <c r="C14" s="5"/>
      <c r="D14" s="5"/>
      <c r="E14" s="6" t="n">
        <v>-34</v>
      </c>
      <c r="F14" s="5" t="s">
        <v>69</v>
      </c>
      <c r="G14" s="5"/>
      <c r="H14" s="5"/>
      <c r="I14" s="6" t="n">
        <v>1424</v>
      </c>
      <c r="J14" s="6" t="n">
        <v>-1458</v>
      </c>
      <c r="K14" s="5" t="s">
        <v>68</v>
      </c>
      <c r="L14" s="5"/>
      <c r="M14" s="5"/>
      <c r="N14" s="6" t="n">
        <v>-36</v>
      </c>
      <c r="O14" s="6" t="n">
        <v>1</v>
      </c>
      <c r="P14" s="5" t="s">
        <v>68</v>
      </c>
      <c r="Q14" s="5"/>
      <c r="R14" s="5"/>
      <c r="S14" s="6" t="n">
        <v>-40</v>
      </c>
      <c r="T14" s="6" t="n">
        <v>6</v>
      </c>
    </row>
    <row r="15">
      <c r="A15" s="4" t="s">
        <v>70</v>
      </c>
      <c r="B15" s="5" t="s">
        <v>71</v>
      </c>
      <c r="C15" s="5"/>
      <c r="D15" s="5"/>
      <c r="E15" s="6" t="n">
        <v>0</v>
      </c>
      <c r="F15" s="5" t="s">
        <v>68</v>
      </c>
      <c r="G15" s="5"/>
      <c r="H15" s="5"/>
      <c r="I15" s="6" t="n">
        <v>0</v>
      </c>
      <c r="J15" s="6" t="n">
        <v>0</v>
      </c>
      <c r="K15" s="5" t="s">
        <v>71</v>
      </c>
      <c r="L15" s="5"/>
      <c r="M15" s="5"/>
      <c r="N15" s="6" t="n">
        <v>0</v>
      </c>
      <c r="O15" s="6" t="n">
        <v>0</v>
      </c>
      <c r="P15" s="5" t="s">
        <v>72</v>
      </c>
      <c r="Q15" s="5"/>
      <c r="R15" s="5"/>
      <c r="S15" s="6" t="n">
        <v>0</v>
      </c>
      <c r="T15" s="6" t="n">
        <v>0</v>
      </c>
    </row>
    <row r="16">
      <c r="A16" s="4" t="s">
        <v>73</v>
      </c>
      <c r="B16" s="5" t="s">
        <v>74</v>
      </c>
      <c r="C16" s="5"/>
      <c r="D16" s="5"/>
      <c r="E16" s="6" t="n">
        <v>79</v>
      </c>
      <c r="F16" s="5" t="s">
        <v>71</v>
      </c>
      <c r="G16" s="5"/>
      <c r="H16" s="5"/>
      <c r="I16" s="6" t="n">
        <v>155</v>
      </c>
      <c r="J16" s="6" t="n">
        <v>-76</v>
      </c>
      <c r="K16" s="5" t="s">
        <v>71</v>
      </c>
      <c r="L16" s="5"/>
      <c r="M16" s="5"/>
      <c r="N16" s="6" t="n">
        <v>151</v>
      </c>
      <c r="O16" s="6" t="n">
        <v>-72</v>
      </c>
      <c r="P16" s="5" t="s">
        <v>71</v>
      </c>
      <c r="Q16" s="5"/>
      <c r="R16" s="5"/>
      <c r="S16" s="6" t="n">
        <v>172</v>
      </c>
      <c r="T16" s="6" t="n">
        <v>-93</v>
      </c>
    </row>
    <row r="17">
      <c r="A17" s="4" t="s">
        <v>75</v>
      </c>
      <c r="B17" s="5"/>
      <c r="C17" s="5"/>
      <c r="D17" s="5"/>
      <c r="E17" s="6" t="n">
        <v>-177</v>
      </c>
      <c r="F17" s="5"/>
      <c r="G17" s="5"/>
      <c r="H17" s="5"/>
      <c r="I17" s="6" t="n">
        <v>-167</v>
      </c>
      <c r="J17" s="6" t="n">
        <v>-10</v>
      </c>
      <c r="K17" s="5"/>
      <c r="L17" s="5"/>
      <c r="M17" s="5"/>
      <c r="N17" s="6" t="n">
        <v>-156</v>
      </c>
      <c r="O17" s="6" t="n">
        <v>-21</v>
      </c>
      <c r="P17" s="5"/>
      <c r="Q17" s="5"/>
      <c r="R17" s="5"/>
      <c r="S17" s="6" t="n">
        <v>-126</v>
      </c>
      <c r="T17" s="6" t="n">
        <v>-50</v>
      </c>
    </row>
    <row r="18">
      <c r="A18" s="4" t="s">
        <v>76</v>
      </c>
      <c r="B18" s="5"/>
      <c r="C18" s="5"/>
      <c r="D18" s="5"/>
      <c r="E18" s="6" t="n">
        <v>319</v>
      </c>
      <c r="F18" s="5"/>
      <c r="G18" s="5"/>
      <c r="H18" s="5"/>
      <c r="I18" s="6" t="n">
        <v>-471</v>
      </c>
      <c r="J18" s="6" t="n">
        <v>790</v>
      </c>
      <c r="K18" s="5"/>
      <c r="L18" s="5"/>
      <c r="M18" s="5"/>
      <c r="N18" s="6" t="n">
        <v>163</v>
      </c>
      <c r="O18" s="6" t="n">
        <v>156</v>
      </c>
      <c r="P18" s="5"/>
      <c r="Q18" s="5"/>
      <c r="R18" s="5"/>
      <c r="S18" s="6" t="n">
        <v>-35</v>
      </c>
      <c r="T18" s="6" t="n">
        <v>354</v>
      </c>
    </row>
    <row r="19">
      <c r="A19" s="4" t="s">
        <v>77</v>
      </c>
      <c r="B19" s="5"/>
      <c r="C19" s="5"/>
      <c r="D19" s="5"/>
      <c r="E19" s="6" t="n">
        <v>453</v>
      </c>
      <c r="F19" s="5"/>
      <c r="G19" s="5"/>
      <c r="H19" s="5"/>
      <c r="I19" s="6" t="n">
        <v>-88</v>
      </c>
      <c r="J19" s="6" t="n">
        <v>540</v>
      </c>
      <c r="K19" s="5"/>
      <c r="L19" s="5"/>
      <c r="M19" s="5"/>
      <c r="N19" s="6" t="n">
        <v>-78</v>
      </c>
      <c r="O19" s="6" t="n">
        <v>531</v>
      </c>
      <c r="P19" s="5"/>
      <c r="Q19" s="5"/>
      <c r="R19" s="5"/>
      <c r="S19" s="6" t="n">
        <v>43</v>
      </c>
      <c r="T19" s="6" t="n">
        <v>410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78</v>
      </c>
      <c r="B21" s="3" t="s">
        <v>79</v>
      </c>
      <c r="C21" s="3"/>
      <c r="D21" s="3"/>
      <c r="E21" s="3" t="s">
        <v>26</v>
      </c>
      <c r="F21" s="3" t="s">
        <v>80</v>
      </c>
      <c r="G21" s="3"/>
      <c r="H21" s="3"/>
      <c r="I21" s="3" t="s">
        <v>26</v>
      </c>
      <c r="J21" s="3" t="s">
        <v>27</v>
      </c>
      <c r="K21" s="3" t="s">
        <v>80</v>
      </c>
      <c r="L21" s="3"/>
      <c r="M21" s="3"/>
      <c r="N21" s="3" t="s">
        <v>26</v>
      </c>
      <c r="O21" s="3" t="s">
        <v>27</v>
      </c>
      <c r="P21" s="3" t="s">
        <v>80</v>
      </c>
      <c r="Q21" s="3"/>
      <c r="R21" s="3"/>
      <c r="S21" s="3" t="s">
        <v>26</v>
      </c>
      <c r="T21" s="3" t="s">
        <v>27</v>
      </c>
    </row>
    <row r="22">
      <c r="A22" s="4" t="s">
        <v>81</v>
      </c>
      <c r="B22" s="9" t="n">
        <v>9.1</v>
      </c>
      <c r="C22" s="2"/>
      <c r="D22" s="2"/>
      <c r="E22" s="11" t="str">
        <f>510045-SUM(E23:E33)</f>
      </c>
      <c r="F22" s="9" t="n">
        <v>9.64</v>
      </c>
      <c r="G22" s="5"/>
      <c r="H22" s="5"/>
      <c r="I22" s="10" t="str">
        <f>911909-SUM(I23:I33)</f>
      </c>
      <c r="J22" s="10" t="str">
        <f>E22-I22</f>
      </c>
      <c r="K22" s="9" t="n">
        <v>9.77</v>
      </c>
      <c r="L22" s="5"/>
      <c r="M22" s="5"/>
      <c r="N22" s="10" t="str">
        <f>1047613-SUM(N23:N33)</f>
      </c>
      <c r="O22" s="10" t="str">
        <f>E22-N22</f>
      </c>
      <c r="P22" s="9" t="n">
        <v>8.98</v>
      </c>
      <c r="Q22" s="5"/>
      <c r="R22" s="5"/>
      <c r="S22" s="10" t="str">
        <f>593604-SUM(S23:S33)</f>
      </c>
      <c r="T22" s="10" t="str">
        <f>E22-S22</f>
      </c>
    </row>
    <row r="23">
      <c r="A23" s="4" t="s">
        <v>82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83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84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85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86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87</v>
      </c>
      <c r="B34" s="5"/>
      <c r="C34" s="5"/>
      <c r="D34" s="5"/>
      <c r="E34" s="6" t="n">
        <v>2664298</v>
      </c>
      <c r="F34" s="5"/>
      <c r="G34" s="5"/>
      <c r="H34" s="5"/>
      <c r="I34" s="5"/>
      <c r="J34" s="6" t="n">
        <v>-546656</v>
      </c>
      <c r="K34" s="5"/>
      <c r="L34" s="5"/>
      <c r="M34" s="5"/>
      <c r="N34" s="5"/>
      <c r="O34" s="6" t="n">
        <v>-609656</v>
      </c>
      <c r="P34" s="5"/>
      <c r="Q34" s="5"/>
      <c r="R34" s="5"/>
      <c r="S34" s="5"/>
      <c r="T34" s="6" t="n">
        <v>-528656</v>
      </c>
    </row>
    <row r="35">
      <c r="A35" s="4" t="s">
        <v>88</v>
      </c>
      <c r="B35" s="5"/>
      <c r="C35" s="5"/>
      <c r="D35" s="5"/>
      <c r="E35" s="5"/>
      <c r="F35" s="5"/>
      <c r="G35" s="5"/>
      <c r="H35" s="5"/>
      <c r="I35" s="5"/>
      <c r="J35" s="12" t="n">
        <v>-0.147</v>
      </c>
      <c r="K35" s="5"/>
      <c r="L35" s="5"/>
      <c r="M35" s="5"/>
      <c r="N35" s="5"/>
      <c r="O35" s="12" t="n">
        <v>-0.161</v>
      </c>
      <c r="P35" s="5"/>
      <c r="Q35" s="5"/>
      <c r="R35" s="5"/>
      <c r="S35" s="5"/>
      <c r="T35" s="12" t="n">
        <v>-0.143</v>
      </c>
    </row>
    <row r="36">
      <c r="A36" s="4" t="s">
        <v>89</v>
      </c>
      <c r="B36" s="5"/>
      <c r="C36" s="5"/>
      <c r="D36" s="5"/>
      <c r="E36" s="5"/>
      <c r="F36" s="5"/>
      <c r="G36" s="5"/>
      <c r="H36" s="5"/>
      <c r="I36" s="5"/>
      <c r="J36" s="12" t="n">
        <v>0.162</v>
      </c>
      <c r="K36" s="5"/>
      <c r="L36" s="5"/>
      <c r="M36" s="5"/>
      <c r="N36" s="5"/>
      <c r="O36" s="12" t="n">
        <v>0.17</v>
      </c>
      <c r="P36" s="5"/>
      <c r="Q36" s="5"/>
      <c r="R36" s="5"/>
      <c r="S36" s="5"/>
      <c r="T36" s="12" t="n">
        <v>0.183</v>
      </c>
    </row>
    <row r="37">
      <c r="A37" s="14" t="s">
        <v>90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91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238</v>
      </c>
      <c r="G2" s="2"/>
      <c r="H2" s="2"/>
      <c r="I2" s="2"/>
      <c r="J2" s="2"/>
      <c r="K2" s="2" t="s">
        <v>239</v>
      </c>
      <c r="L2" s="2"/>
      <c r="M2" s="2"/>
      <c r="N2" s="2"/>
      <c r="O2" s="2"/>
      <c r="P2" s="2" t="s">
        <v>240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241</v>
      </c>
      <c r="G3" s="3"/>
      <c r="H3" s="3"/>
      <c r="I3" s="3"/>
      <c r="J3" s="3"/>
      <c r="K3" s="3" t="s">
        <v>242</v>
      </c>
      <c r="L3" s="3"/>
      <c r="M3" s="3"/>
      <c r="N3" s="3"/>
      <c r="O3" s="3"/>
      <c r="P3" s="3" t="s">
        <v>243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244</v>
      </c>
      <c r="G4" s="5" t="s">
        <v>245</v>
      </c>
      <c r="H4" s="5" t="n">
        <v>9</v>
      </c>
      <c r="I4" s="5" t="s">
        <v>246</v>
      </c>
      <c r="J4" s="5"/>
      <c r="K4" s="5" t="s">
        <v>247</v>
      </c>
      <c r="L4" s="5" t="s">
        <v>248</v>
      </c>
      <c r="M4" s="5" t="n">
        <v>34</v>
      </c>
      <c r="N4" s="5" t="s">
        <v>249</v>
      </c>
      <c r="O4" s="5"/>
      <c r="P4" s="5" t="s">
        <v>250</v>
      </c>
      <c r="Q4" s="5" t="s">
        <v>251</v>
      </c>
      <c r="R4" s="5" t="n">
        <v>35</v>
      </c>
      <c r="S4" s="5" t="s">
        <v>252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2938000</v>
      </c>
      <c r="G5" s="6" t="n">
        <v>0</v>
      </c>
      <c r="H5" s="6" t="str">
        <f>F5-G5</f>
      </c>
      <c r="I5" s="5"/>
      <c r="J5" s="5"/>
      <c r="K5" s="6" t="n">
        <v>3758000</v>
      </c>
      <c r="L5" s="6" t="n">
        <v>0</v>
      </c>
      <c r="M5" s="6" t="str">
        <f>K5-L5</f>
      </c>
      <c r="N5" s="5"/>
      <c r="O5" s="5"/>
      <c r="P5" s="6" t="n">
        <v>3041000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253</v>
      </c>
      <c r="G8" s="5" t="n">
        <v>98</v>
      </c>
      <c r="H8" s="5" t="n">
        <v>9</v>
      </c>
      <c r="I8" s="5"/>
      <c r="J8" s="5"/>
      <c r="K8" s="5" t="s">
        <v>254</v>
      </c>
      <c r="L8" s="5" t="n">
        <v>279</v>
      </c>
      <c r="M8" s="5" t="n">
        <v>34</v>
      </c>
      <c r="N8" s="5"/>
      <c r="O8" s="5"/>
      <c r="P8" s="5" t="s">
        <v>255</v>
      </c>
      <c r="Q8" s="5" t="n">
        <v>275</v>
      </c>
      <c r="R8" s="5" t="n">
        <v>35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2659832</v>
      </c>
      <c r="F9" s="5" t="s">
        <v>256</v>
      </c>
      <c r="G9" s="5" t="s">
        <v>257</v>
      </c>
      <c r="H9" s="5" t="s">
        <v>40</v>
      </c>
      <c r="I9" s="7" t="n">
        <v>2786001</v>
      </c>
      <c r="J9" s="8" t="n">
        <v>-126169</v>
      </c>
      <c r="K9" s="5" t="s">
        <v>258</v>
      </c>
      <c r="L9" s="5" t="s">
        <v>222</v>
      </c>
      <c r="M9" s="5" t="s">
        <v>43</v>
      </c>
      <c r="N9" s="7" t="n">
        <v>3033991</v>
      </c>
      <c r="O9" s="8" t="n">
        <v>-374159</v>
      </c>
      <c r="P9" s="5" t="s">
        <v>259</v>
      </c>
      <c r="Q9" s="5" t="s">
        <v>222</v>
      </c>
      <c r="R9" s="5" t="s">
        <v>260</v>
      </c>
      <c r="S9" s="7" t="n">
        <v>2858947</v>
      </c>
      <c r="T9" s="8" t="n">
        <v>-199115</v>
      </c>
    </row>
    <row r="10">
      <c r="A10" s="4" t="s">
        <v>47</v>
      </c>
      <c r="B10" s="5" t="s">
        <v>48</v>
      </c>
      <c r="C10" s="5"/>
      <c r="D10" s="5"/>
      <c r="E10" s="7" t="n">
        <v>741</v>
      </c>
      <c r="F10" s="5" t="s">
        <v>261</v>
      </c>
      <c r="G10" s="5"/>
      <c r="H10" s="5"/>
      <c r="I10" s="7" t="n">
        <v>1131</v>
      </c>
      <c r="J10" s="8" t="n">
        <v>-390</v>
      </c>
      <c r="K10" s="5" t="s">
        <v>262</v>
      </c>
      <c r="L10" s="5"/>
      <c r="M10" s="5"/>
      <c r="N10" s="7" t="n">
        <v>703</v>
      </c>
      <c r="O10" s="8" t="n">
        <v>38</v>
      </c>
      <c r="P10" s="5" t="s">
        <v>263</v>
      </c>
      <c r="Q10" s="5"/>
      <c r="R10" s="5"/>
      <c r="S10" s="7" t="n">
        <v>664</v>
      </c>
      <c r="T10" s="8" t="n">
        <v>77</v>
      </c>
    </row>
    <row r="11">
      <c r="A11" s="4" t="s">
        <v>52</v>
      </c>
      <c r="B11" s="5" t="s">
        <v>53</v>
      </c>
      <c r="C11" s="5"/>
      <c r="D11" s="5"/>
      <c r="E11" s="7" t="n">
        <v>2120</v>
      </c>
      <c r="F11" s="5" t="s">
        <v>119</v>
      </c>
      <c r="G11" s="5"/>
      <c r="H11" s="5"/>
      <c r="I11" s="7" t="n">
        <v>-280</v>
      </c>
      <c r="J11" s="8" t="n">
        <v>2400</v>
      </c>
      <c r="K11" s="5" t="s">
        <v>264</v>
      </c>
      <c r="L11" s="5"/>
      <c r="M11" s="5"/>
      <c r="N11" s="7" t="n">
        <v>2586</v>
      </c>
      <c r="O11" s="8" t="n">
        <v>-466</v>
      </c>
      <c r="P11" s="5" t="s">
        <v>265</v>
      </c>
      <c r="Q11" s="5"/>
      <c r="R11" s="5"/>
      <c r="S11" s="7" t="n">
        <v>2563</v>
      </c>
      <c r="T11" s="8" t="n">
        <v>-443</v>
      </c>
    </row>
    <row r="12">
      <c r="A12" s="4" t="s">
        <v>57</v>
      </c>
      <c r="B12" s="5" t="s">
        <v>58</v>
      </c>
      <c r="C12" s="5"/>
      <c r="D12" s="5"/>
      <c r="E12" s="6" t="n">
        <v>2928</v>
      </c>
      <c r="F12" s="5" t="s">
        <v>266</v>
      </c>
      <c r="G12" s="5"/>
      <c r="H12" s="5"/>
      <c r="I12" s="6" t="n">
        <v>2700</v>
      </c>
      <c r="J12" s="6" t="n">
        <v>228</v>
      </c>
      <c r="K12" s="5" t="s">
        <v>267</v>
      </c>
      <c r="L12" s="5"/>
      <c r="M12" s="5"/>
      <c r="N12" s="6" t="n">
        <v>2091</v>
      </c>
      <c r="O12" s="6" t="n">
        <v>837</v>
      </c>
      <c r="P12" s="5" t="s">
        <v>268</v>
      </c>
      <c r="Q12" s="5"/>
      <c r="R12" s="5"/>
      <c r="S12" s="6" t="n">
        <v>1988</v>
      </c>
      <c r="T12" s="6" t="n">
        <v>940</v>
      </c>
    </row>
    <row r="13">
      <c r="A13" s="4" t="s">
        <v>62</v>
      </c>
      <c r="B13" s="5" t="s">
        <v>63</v>
      </c>
      <c r="C13" s="5"/>
      <c r="D13" s="5"/>
      <c r="E13" s="6" t="n">
        <v>-1963</v>
      </c>
      <c r="F13" s="5" t="s">
        <v>269</v>
      </c>
      <c r="G13" s="5"/>
      <c r="H13" s="5"/>
      <c r="I13" s="6" t="n">
        <v>2156</v>
      </c>
      <c r="J13" s="6" t="n">
        <v>-4119</v>
      </c>
      <c r="K13" s="5" t="s">
        <v>270</v>
      </c>
      <c r="L13" s="5"/>
      <c r="M13" s="5"/>
      <c r="N13" s="6" t="n">
        <v>4375</v>
      </c>
      <c r="O13" s="6" t="n">
        <v>-6338</v>
      </c>
      <c r="P13" s="5" t="s">
        <v>235</v>
      </c>
      <c r="Q13" s="5"/>
      <c r="R13" s="5"/>
      <c r="S13" s="6" t="n">
        <v>2552</v>
      </c>
      <c r="T13" s="6" t="n">
        <v>-4515</v>
      </c>
    </row>
    <row r="14">
      <c r="A14" s="4" t="s">
        <v>67</v>
      </c>
      <c r="B14" s="5" t="s">
        <v>68</v>
      </c>
      <c r="C14" s="5"/>
      <c r="D14" s="5"/>
      <c r="E14" s="6" t="n">
        <v>-34</v>
      </c>
      <c r="F14" s="5" t="s">
        <v>68</v>
      </c>
      <c r="G14" s="5"/>
      <c r="H14" s="5"/>
      <c r="I14" s="6" t="n">
        <v>-36</v>
      </c>
      <c r="J14" s="6" t="n">
        <v>2</v>
      </c>
      <c r="K14" s="5" t="s">
        <v>69</v>
      </c>
      <c r="L14" s="5"/>
      <c r="M14" s="5"/>
      <c r="N14" s="6" t="n">
        <v>1541</v>
      </c>
      <c r="O14" s="6" t="n">
        <v>-1576</v>
      </c>
      <c r="P14" s="5" t="s">
        <v>68</v>
      </c>
      <c r="Q14" s="5"/>
      <c r="R14" s="5"/>
      <c r="S14" s="6" t="n">
        <v>-37</v>
      </c>
      <c r="T14" s="6" t="n">
        <v>3</v>
      </c>
    </row>
    <row r="15">
      <c r="A15" s="4" t="s">
        <v>70</v>
      </c>
      <c r="B15" s="5" t="s">
        <v>71</v>
      </c>
      <c r="C15" s="5"/>
      <c r="D15" s="5"/>
      <c r="E15" s="6" t="n">
        <v>0</v>
      </c>
      <c r="F15" s="5" t="s">
        <v>71</v>
      </c>
      <c r="G15" s="5"/>
      <c r="H15" s="5"/>
      <c r="I15" s="6" t="n">
        <v>0</v>
      </c>
      <c r="J15" s="6" t="n">
        <v>0</v>
      </c>
      <c r="K15" s="5" t="s">
        <v>72</v>
      </c>
      <c r="L15" s="5"/>
      <c r="M15" s="5"/>
      <c r="N15" s="6" t="n">
        <v>0</v>
      </c>
      <c r="O15" s="6" t="n">
        <v>0</v>
      </c>
      <c r="P15" s="5" t="s">
        <v>72</v>
      </c>
      <c r="Q15" s="5"/>
      <c r="R15" s="5"/>
      <c r="S15" s="6" t="n">
        <v>0</v>
      </c>
      <c r="T15" s="6" t="n">
        <v>0</v>
      </c>
    </row>
    <row r="16">
      <c r="A16" s="4" t="s">
        <v>73</v>
      </c>
      <c r="B16" s="5" t="s">
        <v>74</v>
      </c>
      <c r="C16" s="5"/>
      <c r="D16" s="5"/>
      <c r="E16" s="6" t="n">
        <v>79</v>
      </c>
      <c r="F16" s="5" t="s">
        <v>71</v>
      </c>
      <c r="G16" s="5"/>
      <c r="H16" s="5"/>
      <c r="I16" s="6" t="n">
        <v>154</v>
      </c>
      <c r="J16" s="6" t="n">
        <v>-76</v>
      </c>
      <c r="K16" s="5" t="s">
        <v>74</v>
      </c>
      <c r="L16" s="5"/>
      <c r="M16" s="5"/>
      <c r="N16" s="6" t="n">
        <v>90</v>
      </c>
      <c r="O16" s="6" t="n">
        <v>-11</v>
      </c>
      <c r="P16" s="5" t="s">
        <v>74</v>
      </c>
      <c r="Q16" s="5"/>
      <c r="R16" s="5"/>
      <c r="S16" s="6" t="n">
        <v>85</v>
      </c>
      <c r="T16" s="6" t="n">
        <v>-6</v>
      </c>
    </row>
    <row r="17">
      <c r="A17" s="4" t="s">
        <v>75</v>
      </c>
      <c r="B17" s="5"/>
      <c r="C17" s="5"/>
      <c r="D17" s="5"/>
      <c r="E17" s="6" t="n">
        <v>-177</v>
      </c>
      <c r="F17" s="5"/>
      <c r="G17" s="5"/>
      <c r="H17" s="5"/>
      <c r="I17" s="6" t="n">
        <v>-163</v>
      </c>
      <c r="J17" s="6" t="n">
        <v>-13</v>
      </c>
      <c r="K17" s="5"/>
      <c r="L17" s="5"/>
      <c r="M17" s="5"/>
      <c r="N17" s="6" t="n">
        <v>-117</v>
      </c>
      <c r="O17" s="6" t="n">
        <v>-60</v>
      </c>
      <c r="P17" s="5"/>
      <c r="Q17" s="5"/>
      <c r="R17" s="5"/>
      <c r="S17" s="6" t="n">
        <v>-152</v>
      </c>
      <c r="T17" s="6" t="n">
        <v>-24</v>
      </c>
    </row>
    <row r="18">
      <c r="A18" s="4" t="s">
        <v>76</v>
      </c>
      <c r="B18" s="5"/>
      <c r="C18" s="5"/>
      <c r="D18" s="5"/>
      <c r="E18" s="6" t="n">
        <v>319</v>
      </c>
      <c r="F18" s="5"/>
      <c r="G18" s="5"/>
      <c r="H18" s="5"/>
      <c r="I18" s="6" t="n">
        <v>188</v>
      </c>
      <c r="J18" s="6" t="n">
        <v>131</v>
      </c>
      <c r="K18" s="5"/>
      <c r="L18" s="5"/>
      <c r="M18" s="5"/>
      <c r="N18" s="6" t="n">
        <v>-889</v>
      </c>
      <c r="O18" s="6" t="n">
        <v>1208</v>
      </c>
      <c r="P18" s="5"/>
      <c r="Q18" s="5"/>
      <c r="R18" s="5"/>
      <c r="S18" s="6" t="n">
        <v>171</v>
      </c>
      <c r="T18" s="6" t="n">
        <v>148</v>
      </c>
    </row>
    <row r="19">
      <c r="A19" s="4" t="s">
        <v>77</v>
      </c>
      <c r="B19" s="5"/>
      <c r="C19" s="5"/>
      <c r="D19" s="5"/>
      <c r="E19" s="6" t="n">
        <v>453</v>
      </c>
      <c r="F19" s="5"/>
      <c r="G19" s="5"/>
      <c r="H19" s="5"/>
      <c r="I19" s="6" t="n">
        <v>-31</v>
      </c>
      <c r="J19" s="6" t="n">
        <v>484</v>
      </c>
      <c r="K19" s="5"/>
      <c r="L19" s="5"/>
      <c r="M19" s="5"/>
      <c r="N19" s="6" t="n">
        <v>21</v>
      </c>
      <c r="O19" s="6" t="n">
        <v>432</v>
      </c>
      <c r="P19" s="5"/>
      <c r="Q19" s="5"/>
      <c r="R19" s="5"/>
      <c r="S19" s="6" t="n">
        <v>-15</v>
      </c>
      <c r="T19" s="6" t="n">
        <v>467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78</v>
      </c>
      <c r="B21" s="3" t="s">
        <v>79</v>
      </c>
      <c r="C21" s="3"/>
      <c r="D21" s="3"/>
      <c r="E21" s="3" t="s">
        <v>26</v>
      </c>
      <c r="F21" s="3" t="s">
        <v>80</v>
      </c>
      <c r="G21" s="3"/>
      <c r="H21" s="3"/>
      <c r="I21" s="3" t="s">
        <v>26</v>
      </c>
      <c r="J21" s="3" t="s">
        <v>27</v>
      </c>
      <c r="K21" s="3" t="s">
        <v>80</v>
      </c>
      <c r="L21" s="3"/>
      <c r="M21" s="3"/>
      <c r="N21" s="3" t="s">
        <v>26</v>
      </c>
      <c r="O21" s="3" t="s">
        <v>27</v>
      </c>
      <c r="P21" s="3" t="s">
        <v>80</v>
      </c>
      <c r="Q21" s="3"/>
      <c r="R21" s="3"/>
      <c r="S21" s="3" t="s">
        <v>26</v>
      </c>
      <c r="T21" s="3" t="s">
        <v>27</v>
      </c>
    </row>
    <row r="22">
      <c r="A22" s="4" t="s">
        <v>81</v>
      </c>
      <c r="B22" s="9" t="n">
        <v>9.1</v>
      </c>
      <c r="C22" s="2"/>
      <c r="D22" s="2"/>
      <c r="E22" s="11" t="str">
        <f>510045-SUM(E23:E33)</f>
      </c>
      <c r="F22" s="9" t="n">
        <v>6.35</v>
      </c>
      <c r="G22" s="5"/>
      <c r="H22" s="5"/>
      <c r="I22" s="10" t="str">
        <f>146180-SUM(I23:I33)</f>
      </c>
      <c r="J22" s="10" t="str">
        <f>E22-I22</f>
      </c>
      <c r="K22" s="9" t="n">
        <v>9.33</v>
      </c>
      <c r="L22" s="5"/>
      <c r="M22" s="5"/>
      <c r="N22" s="10" t="str">
        <f>713606-SUM(N23:N33)</f>
      </c>
      <c r="O22" s="10" t="str">
        <f>E22-N22</f>
      </c>
      <c r="P22" s="9" t="n">
        <v>6.75</v>
      </c>
      <c r="Q22" s="5"/>
      <c r="R22" s="5"/>
      <c r="S22" s="10" t="str">
        <f>174235-SUM(S23:S33)</f>
      </c>
      <c r="T22" s="10" t="str">
        <f>E22-S22</f>
      </c>
    </row>
    <row r="23">
      <c r="A23" s="4" t="s">
        <v>82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83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84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85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86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87</v>
      </c>
      <c r="B34" s="5"/>
      <c r="C34" s="5"/>
      <c r="D34" s="5"/>
      <c r="E34" s="6" t="n">
        <v>2664298</v>
      </c>
      <c r="F34" s="5"/>
      <c r="G34" s="5"/>
      <c r="H34" s="5"/>
      <c r="I34" s="5"/>
      <c r="J34" s="6" t="n">
        <v>236344</v>
      </c>
      <c r="K34" s="5"/>
      <c r="L34" s="5"/>
      <c r="M34" s="5"/>
      <c r="N34" s="5"/>
      <c r="O34" s="6" t="n">
        <v>-583656</v>
      </c>
      <c r="P34" s="5"/>
      <c r="Q34" s="5"/>
      <c r="R34" s="5"/>
      <c r="S34" s="5"/>
      <c r="T34" s="6" t="n">
        <v>133344</v>
      </c>
    </row>
    <row r="35">
      <c r="A35" s="4" t="s">
        <v>88</v>
      </c>
      <c r="B35" s="5"/>
      <c r="C35" s="5"/>
      <c r="D35" s="5"/>
      <c r="E35" s="5"/>
      <c r="F35" s="5"/>
      <c r="G35" s="5"/>
      <c r="H35" s="5"/>
      <c r="I35" s="5"/>
      <c r="J35" s="12" t="n">
        <v>0.08</v>
      </c>
      <c r="K35" s="5"/>
      <c r="L35" s="5"/>
      <c r="M35" s="5"/>
      <c r="N35" s="5"/>
      <c r="O35" s="12" t="n">
        <v>-0.155</v>
      </c>
      <c r="P35" s="5"/>
      <c r="Q35" s="5"/>
      <c r="R35" s="5"/>
      <c r="S35" s="5"/>
      <c r="T35" s="12" t="n">
        <v>0.044</v>
      </c>
    </row>
    <row r="36">
      <c r="A36" s="4" t="s">
        <v>89</v>
      </c>
      <c r="B36" s="5"/>
      <c r="C36" s="5"/>
      <c r="D36" s="5"/>
      <c r="E36" s="5"/>
      <c r="F36" s="5"/>
      <c r="G36" s="5"/>
      <c r="H36" s="5"/>
      <c r="I36" s="5"/>
      <c r="J36" s="12" t="n">
        <v>0.184</v>
      </c>
      <c r="K36" s="5"/>
      <c r="L36" s="5"/>
      <c r="M36" s="5"/>
      <c r="N36" s="5"/>
      <c r="O36" s="12" t="n">
        <v>0.19</v>
      </c>
      <c r="P36" s="5"/>
      <c r="Q36" s="5"/>
      <c r="R36" s="5"/>
      <c r="S36" s="5"/>
      <c r="T36" s="12" t="n">
        <v>0.2</v>
      </c>
    </row>
    <row r="37">
      <c r="A37" s="14" t="s">
        <v>90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91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271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272</v>
      </c>
      <c r="G2" s="2"/>
      <c r="H2" s="2"/>
      <c r="I2" s="2"/>
      <c r="J2" s="2"/>
      <c r="K2" s="2" t="s">
        <v>273</v>
      </c>
      <c r="L2" s="2"/>
      <c r="M2" s="2"/>
      <c r="N2" s="2"/>
      <c r="O2" s="2"/>
      <c r="P2" s="2" t="s">
        <v>274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275</v>
      </c>
      <c r="G3" s="3"/>
      <c r="H3" s="3"/>
      <c r="I3" s="3"/>
      <c r="J3" s="3"/>
      <c r="K3" s="3" t="s">
        <v>276</v>
      </c>
      <c r="L3" s="3"/>
      <c r="M3" s="3"/>
      <c r="N3" s="3"/>
      <c r="O3" s="3"/>
      <c r="P3" s="3" t="s">
        <v>277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278</v>
      </c>
      <c r="G4" s="5" t="s">
        <v>279</v>
      </c>
      <c r="H4" s="5" t="n">
        <v>33</v>
      </c>
      <c r="I4" s="5" t="s">
        <v>280</v>
      </c>
      <c r="J4" s="5"/>
      <c r="K4" s="5" t="s">
        <v>281</v>
      </c>
      <c r="L4" s="5" t="s">
        <v>282</v>
      </c>
      <c r="M4" s="5" t="n">
        <v>26</v>
      </c>
      <c r="N4" s="5" t="s">
        <v>283</v>
      </c>
      <c r="O4" s="5"/>
      <c r="P4" s="5" t="s">
        <v>284</v>
      </c>
      <c r="Q4" s="5" t="s">
        <v>285</v>
      </c>
      <c r="R4" s="5" t="n">
        <v>5</v>
      </c>
      <c r="S4" s="5" t="s">
        <v>286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2991000</v>
      </c>
      <c r="G5" s="6" t="n">
        <v>0</v>
      </c>
      <c r="H5" s="6" t="str">
        <f>F5-G5</f>
      </c>
      <c r="I5" s="5"/>
      <c r="J5" s="5"/>
      <c r="K5" s="6" t="n">
        <v>2831000</v>
      </c>
      <c r="L5" s="6" t="n">
        <v>0</v>
      </c>
      <c r="M5" s="6" t="str">
        <f>K5-L5</f>
      </c>
      <c r="N5" s="5"/>
      <c r="O5" s="5"/>
      <c r="P5" s="6" t="n">
        <v>3002000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287</v>
      </c>
      <c r="G8" s="5" t="n">
        <v>241</v>
      </c>
      <c r="H8" s="5" t="n">
        <v>33</v>
      </c>
      <c r="I8" s="5"/>
      <c r="J8" s="5"/>
      <c r="K8" s="5" t="s">
        <v>288</v>
      </c>
      <c r="L8" s="5" t="n">
        <v>221</v>
      </c>
      <c r="M8" s="5" t="n">
        <v>26</v>
      </c>
      <c r="N8" s="5"/>
      <c r="O8" s="5"/>
      <c r="P8" s="5" t="s">
        <v>289</v>
      </c>
      <c r="Q8" s="5" t="n">
        <v>260</v>
      </c>
      <c r="R8" s="5" t="n">
        <v>5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2659832</v>
      </c>
      <c r="F9" s="5" t="s">
        <v>290</v>
      </c>
      <c r="G9" s="5" t="s">
        <v>291</v>
      </c>
      <c r="H9" s="5" t="s">
        <v>46</v>
      </c>
      <c r="I9" s="7" t="n">
        <v>2837143</v>
      </c>
      <c r="J9" s="8" t="n">
        <v>-177311</v>
      </c>
      <c r="K9" s="5" t="s">
        <v>292</v>
      </c>
      <c r="L9" s="5" t="s">
        <v>42</v>
      </c>
      <c r="M9" s="5" t="s">
        <v>37</v>
      </c>
      <c r="N9" s="7" t="n">
        <v>2759514</v>
      </c>
      <c r="O9" s="8" t="n">
        <v>-99682</v>
      </c>
      <c r="P9" s="5" t="s">
        <v>293</v>
      </c>
      <c r="Q9" s="5" t="s">
        <v>222</v>
      </c>
      <c r="R9" s="5" t="s">
        <v>40</v>
      </c>
      <c r="S9" s="7" t="n">
        <v>2847770</v>
      </c>
      <c r="T9" s="8" t="n">
        <v>-187938</v>
      </c>
    </row>
    <row r="10">
      <c r="A10" s="4" t="s">
        <v>47</v>
      </c>
      <c r="B10" s="5" t="s">
        <v>48</v>
      </c>
      <c r="C10" s="5"/>
      <c r="D10" s="5"/>
      <c r="E10" s="7" t="n">
        <v>741</v>
      </c>
      <c r="F10" s="5" t="s">
        <v>294</v>
      </c>
      <c r="G10" s="5"/>
      <c r="H10" s="5"/>
      <c r="I10" s="7" t="n">
        <v>1406</v>
      </c>
      <c r="J10" s="8" t="n">
        <v>-665</v>
      </c>
      <c r="K10" s="5" t="s">
        <v>295</v>
      </c>
      <c r="L10" s="5"/>
      <c r="M10" s="5"/>
      <c r="N10" s="7" t="n">
        <v>1032</v>
      </c>
      <c r="O10" s="8" t="n">
        <v>-291</v>
      </c>
      <c r="P10" s="5" t="s">
        <v>296</v>
      </c>
      <c r="Q10" s="5"/>
      <c r="R10" s="5"/>
      <c r="S10" s="7" t="n">
        <v>2026</v>
      </c>
      <c r="T10" s="8" t="n">
        <v>-1285</v>
      </c>
    </row>
    <row r="11">
      <c r="A11" s="4" t="s">
        <v>52</v>
      </c>
      <c r="B11" s="5" t="s">
        <v>53</v>
      </c>
      <c r="C11" s="5"/>
      <c r="D11" s="5"/>
      <c r="E11" s="7" t="n">
        <v>2120</v>
      </c>
      <c r="F11" s="5" t="s">
        <v>297</v>
      </c>
      <c r="G11" s="5"/>
      <c r="H11" s="5"/>
      <c r="I11" s="7" t="n">
        <v>2150</v>
      </c>
      <c r="J11" s="8" t="n">
        <v>-30</v>
      </c>
      <c r="K11" s="5" t="s">
        <v>266</v>
      </c>
      <c r="L11" s="5"/>
      <c r="M11" s="5"/>
      <c r="N11" s="7" t="n">
        <v>2695</v>
      </c>
      <c r="O11" s="8" t="n">
        <v>-575</v>
      </c>
      <c r="P11" s="5" t="s">
        <v>121</v>
      </c>
      <c r="Q11" s="5"/>
      <c r="R11" s="5"/>
      <c r="S11" s="7" t="n">
        <v>-1966</v>
      </c>
      <c r="T11" s="8" t="n">
        <v>4086</v>
      </c>
    </row>
    <row r="12">
      <c r="A12" s="4" t="s">
        <v>57</v>
      </c>
      <c r="B12" s="5" t="s">
        <v>58</v>
      </c>
      <c r="C12" s="5"/>
      <c r="D12" s="5"/>
      <c r="E12" s="6" t="n">
        <v>2928</v>
      </c>
      <c r="F12" s="5" t="s">
        <v>298</v>
      </c>
      <c r="G12" s="5"/>
      <c r="H12" s="5"/>
      <c r="I12" s="6" t="n">
        <v>2122</v>
      </c>
      <c r="J12" s="6" t="n">
        <v>806</v>
      </c>
      <c r="K12" s="5" t="s">
        <v>299</v>
      </c>
      <c r="L12" s="5"/>
      <c r="M12" s="5"/>
      <c r="N12" s="6" t="n">
        <v>2149</v>
      </c>
      <c r="O12" s="6" t="n">
        <v>779</v>
      </c>
      <c r="P12" s="5" t="s">
        <v>300</v>
      </c>
      <c r="Q12" s="5"/>
      <c r="R12" s="5"/>
      <c r="S12" s="6" t="n">
        <v>2046</v>
      </c>
      <c r="T12" s="6" t="n">
        <v>882</v>
      </c>
    </row>
    <row r="13">
      <c r="A13" s="4" t="s">
        <v>62</v>
      </c>
      <c r="B13" s="5" t="s">
        <v>63</v>
      </c>
      <c r="C13" s="5"/>
      <c r="D13" s="5"/>
      <c r="E13" s="6" t="n">
        <v>-1963</v>
      </c>
      <c r="F13" s="5" t="s">
        <v>301</v>
      </c>
      <c r="G13" s="5"/>
      <c r="H13" s="5"/>
      <c r="I13" s="6" t="n">
        <v>428</v>
      </c>
      <c r="J13" s="6" t="n">
        <v>-2390</v>
      </c>
      <c r="K13" s="5" t="s">
        <v>302</v>
      </c>
      <c r="L13" s="5"/>
      <c r="M13" s="5"/>
      <c r="N13" s="6" t="n">
        <v>-2365</v>
      </c>
      <c r="O13" s="6" t="n">
        <v>402</v>
      </c>
      <c r="P13" s="5" t="s">
        <v>64</v>
      </c>
      <c r="Q13" s="5"/>
      <c r="R13" s="5"/>
      <c r="S13" s="6" t="n">
        <v>3944</v>
      </c>
      <c r="T13" s="6" t="n">
        <v>-5906</v>
      </c>
    </row>
    <row r="14">
      <c r="A14" s="4" t="s">
        <v>67</v>
      </c>
      <c r="B14" s="5" t="s">
        <v>68</v>
      </c>
      <c r="C14" s="5"/>
      <c r="D14" s="5"/>
      <c r="E14" s="6" t="n">
        <v>-34</v>
      </c>
      <c r="F14" s="5" t="s">
        <v>68</v>
      </c>
      <c r="G14" s="5"/>
      <c r="H14" s="5"/>
      <c r="I14" s="6" t="n">
        <v>-37</v>
      </c>
      <c r="J14" s="6" t="n">
        <v>2</v>
      </c>
      <c r="K14" s="5" t="s">
        <v>69</v>
      </c>
      <c r="L14" s="5"/>
      <c r="M14" s="5"/>
      <c r="N14" s="6" t="n">
        <v>1401</v>
      </c>
      <c r="O14" s="6" t="n">
        <v>-1436</v>
      </c>
      <c r="P14" s="5" t="s">
        <v>69</v>
      </c>
      <c r="Q14" s="5"/>
      <c r="R14" s="5"/>
      <c r="S14" s="6" t="n">
        <v>1446</v>
      </c>
      <c r="T14" s="6" t="n">
        <v>-1481</v>
      </c>
    </row>
    <row r="15">
      <c r="A15" s="4" t="s">
        <v>70</v>
      </c>
      <c r="B15" s="5" t="s">
        <v>71</v>
      </c>
      <c r="C15" s="5"/>
      <c r="D15" s="5"/>
      <c r="E15" s="6" t="n">
        <v>0</v>
      </c>
      <c r="F15" s="5" t="s">
        <v>71</v>
      </c>
      <c r="G15" s="5"/>
      <c r="H15" s="5"/>
      <c r="I15" s="6" t="n">
        <v>0</v>
      </c>
      <c r="J15" s="6" t="n">
        <v>0</v>
      </c>
      <c r="K15" s="5" t="s">
        <v>71</v>
      </c>
      <c r="L15" s="5"/>
      <c r="M15" s="5"/>
      <c r="N15" s="6" t="n">
        <v>0</v>
      </c>
      <c r="O15" s="6" t="n">
        <v>0</v>
      </c>
      <c r="P15" s="5" t="s">
        <v>71</v>
      </c>
      <c r="Q15" s="5"/>
      <c r="R15" s="5"/>
      <c r="S15" s="6" t="n">
        <v>0</v>
      </c>
      <c r="T15" s="6" t="n">
        <v>0</v>
      </c>
    </row>
    <row r="16">
      <c r="A16" s="4" t="s">
        <v>73</v>
      </c>
      <c r="B16" s="5" t="s">
        <v>74</v>
      </c>
      <c r="C16" s="5"/>
      <c r="D16" s="5"/>
      <c r="E16" s="6" t="n">
        <v>79</v>
      </c>
      <c r="F16" s="5" t="s">
        <v>71</v>
      </c>
      <c r="G16" s="5"/>
      <c r="H16" s="5"/>
      <c r="I16" s="6" t="n">
        <v>157</v>
      </c>
      <c r="J16" s="6" t="n">
        <v>-78</v>
      </c>
      <c r="K16" s="5" t="s">
        <v>74</v>
      </c>
      <c r="L16" s="5"/>
      <c r="M16" s="5"/>
      <c r="N16" s="6" t="n">
        <v>82</v>
      </c>
      <c r="O16" s="6" t="n">
        <v>-3</v>
      </c>
      <c r="P16" s="5" t="s">
        <v>71</v>
      </c>
      <c r="Q16" s="5"/>
      <c r="R16" s="5"/>
      <c r="S16" s="6" t="n">
        <v>158</v>
      </c>
      <c r="T16" s="6" t="n">
        <v>-79</v>
      </c>
    </row>
    <row r="17">
      <c r="A17" s="4" t="s">
        <v>75</v>
      </c>
      <c r="B17" s="5"/>
      <c r="C17" s="5"/>
      <c r="D17" s="5"/>
      <c r="E17" s="6" t="n">
        <v>-177</v>
      </c>
      <c r="F17" s="5"/>
      <c r="G17" s="5"/>
      <c r="H17" s="5"/>
      <c r="I17" s="6" t="n">
        <v>-190</v>
      </c>
      <c r="J17" s="6" t="n">
        <v>14</v>
      </c>
      <c r="K17" s="5"/>
      <c r="L17" s="5"/>
      <c r="M17" s="5"/>
      <c r="N17" s="6" t="n">
        <v>-219</v>
      </c>
      <c r="O17" s="6" t="n">
        <v>43</v>
      </c>
      <c r="P17" s="5"/>
      <c r="Q17" s="5"/>
      <c r="R17" s="5"/>
      <c r="S17" s="6" t="n">
        <v>-117</v>
      </c>
      <c r="T17" s="6" t="n">
        <v>-59</v>
      </c>
    </row>
    <row r="18">
      <c r="A18" s="4" t="s">
        <v>76</v>
      </c>
      <c r="B18" s="5"/>
      <c r="C18" s="5"/>
      <c r="D18" s="5"/>
      <c r="E18" s="6" t="n">
        <v>319</v>
      </c>
      <c r="F18" s="5"/>
      <c r="G18" s="5"/>
      <c r="H18" s="5"/>
      <c r="I18" s="6" t="n">
        <v>280</v>
      </c>
      <c r="J18" s="6" t="n">
        <v>39</v>
      </c>
      <c r="K18" s="5"/>
      <c r="L18" s="5"/>
      <c r="M18" s="5"/>
      <c r="N18" s="6" t="n">
        <v>220</v>
      </c>
      <c r="O18" s="6" t="n">
        <v>99</v>
      </c>
      <c r="P18" s="5"/>
      <c r="Q18" s="5"/>
      <c r="R18" s="5"/>
      <c r="S18" s="6" t="n">
        <v>-812</v>
      </c>
      <c r="T18" s="6" t="n">
        <v>1131</v>
      </c>
    </row>
    <row r="19">
      <c r="A19" s="4" t="s">
        <v>77</v>
      </c>
      <c r="B19" s="5"/>
      <c r="C19" s="5"/>
      <c r="D19" s="5"/>
      <c r="E19" s="6" t="n">
        <v>453</v>
      </c>
      <c r="F19" s="5"/>
      <c r="G19" s="5"/>
      <c r="H19" s="5"/>
      <c r="I19" s="6" t="n">
        <v>204</v>
      </c>
      <c r="J19" s="6" t="n">
        <v>249</v>
      </c>
      <c r="K19" s="5"/>
      <c r="L19" s="5"/>
      <c r="M19" s="5"/>
      <c r="N19" s="6" t="n">
        <v>502</v>
      </c>
      <c r="O19" s="6" t="n">
        <v>-50</v>
      </c>
      <c r="P19" s="5"/>
      <c r="Q19" s="5"/>
      <c r="R19" s="5"/>
      <c r="S19" s="6" t="n">
        <v>-306</v>
      </c>
      <c r="T19" s="6" t="n">
        <v>758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78</v>
      </c>
      <c r="B21" s="3" t="s">
        <v>79</v>
      </c>
      <c r="C21" s="3"/>
      <c r="D21" s="3"/>
      <c r="E21" s="3" t="s">
        <v>26</v>
      </c>
      <c r="F21" s="3" t="s">
        <v>80</v>
      </c>
      <c r="G21" s="3"/>
      <c r="H21" s="3"/>
      <c r="I21" s="3" t="s">
        <v>26</v>
      </c>
      <c r="J21" s="3" t="s">
        <v>27</v>
      </c>
      <c r="K21" s="3" t="s">
        <v>80</v>
      </c>
      <c r="L21" s="3"/>
      <c r="M21" s="3"/>
      <c r="N21" s="3" t="s">
        <v>26</v>
      </c>
      <c r="O21" s="3" t="s">
        <v>27</v>
      </c>
      <c r="P21" s="3" t="s">
        <v>80</v>
      </c>
      <c r="Q21" s="3"/>
      <c r="R21" s="3"/>
      <c r="S21" s="3" t="s">
        <v>26</v>
      </c>
      <c r="T21" s="3" t="s">
        <v>27</v>
      </c>
    </row>
    <row r="22">
      <c r="A22" s="4" t="s">
        <v>81</v>
      </c>
      <c r="B22" s="9" t="n">
        <v>9.1</v>
      </c>
      <c r="C22" s="2"/>
      <c r="D22" s="2"/>
      <c r="E22" s="11" t="str">
        <f>510045-SUM(E23:E33)</f>
      </c>
      <c r="F22" s="9" t="n">
        <v>6.37</v>
      </c>
      <c r="G22" s="5"/>
      <c r="H22" s="5"/>
      <c r="I22" s="10" t="str">
        <f>147337-SUM(I23:I33)</f>
      </c>
      <c r="J22" s="10" t="str">
        <f>E22-I22</f>
      </c>
      <c r="K22" s="9" t="n">
        <v>5.46</v>
      </c>
      <c r="L22" s="5"/>
      <c r="M22" s="5"/>
      <c r="N22" s="10" t="str">
        <f>65990-SUM(N23:N33)</f>
      </c>
      <c r="O22" s="10" t="str">
        <f>E22-N22</f>
      </c>
      <c r="P22" s="9" t="n">
        <v>6.38</v>
      </c>
      <c r="Q22" s="5"/>
      <c r="R22" s="5"/>
      <c r="S22" s="10" t="str">
        <f>147812-SUM(S23:S33)</f>
      </c>
      <c r="T22" s="10" t="str">
        <f>E22-S22</f>
      </c>
    </row>
    <row r="23">
      <c r="A23" s="4" t="s">
        <v>82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83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84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85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86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87</v>
      </c>
      <c r="B34" s="5"/>
      <c r="C34" s="5"/>
      <c r="D34" s="5"/>
      <c r="E34" s="6" t="n">
        <v>2664298</v>
      </c>
      <c r="F34" s="5"/>
      <c r="G34" s="5"/>
      <c r="H34" s="5"/>
      <c r="I34" s="5"/>
      <c r="J34" s="6" t="n">
        <v>183344</v>
      </c>
      <c r="K34" s="5"/>
      <c r="L34" s="5"/>
      <c r="M34" s="5"/>
      <c r="N34" s="5"/>
      <c r="O34" s="6" t="n">
        <v>343344</v>
      </c>
      <c r="P34" s="5"/>
      <c r="Q34" s="5"/>
      <c r="R34" s="5"/>
      <c r="S34" s="5"/>
      <c r="T34" s="6" t="n">
        <v>172344</v>
      </c>
    </row>
    <row r="35">
      <c r="A35" s="4" t="s">
        <v>88</v>
      </c>
      <c r="B35" s="5"/>
      <c r="C35" s="5"/>
      <c r="D35" s="5"/>
      <c r="E35" s="5"/>
      <c r="F35" s="5"/>
      <c r="G35" s="5"/>
      <c r="H35" s="5"/>
      <c r="I35" s="5"/>
      <c r="J35" s="12" t="n">
        <v>0.061</v>
      </c>
      <c r="K35" s="5"/>
      <c r="L35" s="5"/>
      <c r="M35" s="5"/>
      <c r="N35" s="5"/>
      <c r="O35" s="12" t="n">
        <v>0.121</v>
      </c>
      <c r="P35" s="5"/>
      <c r="Q35" s="5"/>
      <c r="R35" s="5"/>
      <c r="S35" s="5"/>
      <c r="T35" s="12" t="n">
        <v>0.057</v>
      </c>
    </row>
    <row r="36">
      <c r="A36" s="4" t="s">
        <v>89</v>
      </c>
      <c r="B36" s="5"/>
      <c r="C36" s="5"/>
      <c r="D36" s="5"/>
      <c r="E36" s="5"/>
      <c r="F36" s="5"/>
      <c r="G36" s="5"/>
      <c r="H36" s="5"/>
      <c r="I36" s="5"/>
      <c r="J36" s="12" t="n">
        <v>0.202</v>
      </c>
      <c r="K36" s="5"/>
      <c r="L36" s="5"/>
      <c r="M36" s="5"/>
      <c r="N36" s="5"/>
      <c r="O36" s="12" t="n">
        <v>0.205</v>
      </c>
      <c r="P36" s="5"/>
      <c r="Q36" s="5"/>
      <c r="R36" s="5"/>
      <c r="S36" s="5"/>
      <c r="T36" s="12" t="n">
        <v>0.21</v>
      </c>
    </row>
    <row r="37">
      <c r="A37" s="14" t="s">
        <v>90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91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304</v>
      </c>
      <c r="G2" s="2"/>
      <c r="H2" s="2"/>
      <c r="I2" s="2"/>
      <c r="J2" s="2"/>
      <c r="K2" s="2" t="s">
        <v>305</v>
      </c>
      <c r="L2" s="2"/>
      <c r="M2" s="2"/>
      <c r="N2" s="2"/>
      <c r="O2" s="2"/>
      <c r="P2" s="2" t="s">
        <v>306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307</v>
      </c>
      <c r="G3" s="3"/>
      <c r="H3" s="3"/>
      <c r="I3" s="3"/>
      <c r="J3" s="3"/>
      <c r="K3" s="3" t="s">
        <v>308</v>
      </c>
      <c r="L3" s="3"/>
      <c r="M3" s="3"/>
      <c r="N3" s="3"/>
      <c r="O3" s="3"/>
      <c r="P3" s="3" t="s">
        <v>309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310</v>
      </c>
      <c r="G4" s="5" t="s">
        <v>311</v>
      </c>
      <c r="H4" s="5" t="n">
        <v>7</v>
      </c>
      <c r="I4" s="5" t="s">
        <v>246</v>
      </c>
      <c r="J4" s="5"/>
      <c r="K4" s="5" t="s">
        <v>312</v>
      </c>
      <c r="L4" s="5" t="s">
        <v>313</v>
      </c>
      <c r="M4" s="5" t="n">
        <v>30</v>
      </c>
      <c r="N4" s="5" t="s">
        <v>252</v>
      </c>
      <c r="O4" s="5"/>
      <c r="P4" s="5" t="s">
        <v>314</v>
      </c>
      <c r="Q4" s="5" t="s">
        <v>315</v>
      </c>
      <c r="R4" s="5" t="n">
        <v>33</v>
      </c>
      <c r="S4" s="5" t="s">
        <v>316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2913000</v>
      </c>
      <c r="G5" s="6" t="n">
        <v>0</v>
      </c>
      <c r="H5" s="6" t="str">
        <f>F5-G5</f>
      </c>
      <c r="I5" s="5"/>
      <c r="J5" s="5"/>
      <c r="K5" s="6" t="n">
        <v>3185000</v>
      </c>
      <c r="L5" s="6" t="n">
        <v>0</v>
      </c>
      <c r="M5" s="6" t="str">
        <f>K5-L5</f>
      </c>
      <c r="N5" s="5"/>
      <c r="O5" s="5"/>
      <c r="P5" s="6" t="n">
        <v>3827000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317</v>
      </c>
      <c r="G8" s="5" t="n">
        <v>151</v>
      </c>
      <c r="H8" s="5" t="n">
        <v>7</v>
      </c>
      <c r="I8" s="5"/>
      <c r="J8" s="5"/>
      <c r="K8" s="5" t="s">
        <v>318</v>
      </c>
      <c r="L8" s="5" t="n">
        <v>154</v>
      </c>
      <c r="M8" s="5" t="n">
        <v>30</v>
      </c>
      <c r="N8" s="5"/>
      <c r="O8" s="5"/>
      <c r="P8" s="5" t="s">
        <v>319</v>
      </c>
      <c r="Q8" s="5" t="n">
        <v>204</v>
      </c>
      <c r="R8" s="5" t="n">
        <v>33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2659832</v>
      </c>
      <c r="F9" s="5" t="s">
        <v>320</v>
      </c>
      <c r="G9" s="5" t="s">
        <v>257</v>
      </c>
      <c r="H9" s="5" t="s">
        <v>260</v>
      </c>
      <c r="I9" s="7" t="n">
        <v>2810773</v>
      </c>
      <c r="J9" s="8" t="n">
        <v>-150941</v>
      </c>
      <c r="K9" s="5" t="s">
        <v>259</v>
      </c>
      <c r="L9" s="5" t="s">
        <v>222</v>
      </c>
      <c r="M9" s="5" t="s">
        <v>260</v>
      </c>
      <c r="N9" s="7" t="n">
        <v>2952925</v>
      </c>
      <c r="O9" s="8" t="n">
        <v>-293093</v>
      </c>
      <c r="P9" s="5" t="s">
        <v>321</v>
      </c>
      <c r="Q9" s="5" t="s">
        <v>222</v>
      </c>
      <c r="R9" s="5" t="s">
        <v>183</v>
      </c>
      <c r="S9" s="7" t="n">
        <v>3171408</v>
      </c>
      <c r="T9" s="8" t="n">
        <v>-511576</v>
      </c>
    </row>
    <row r="10">
      <c r="A10" s="4" t="s">
        <v>47</v>
      </c>
      <c r="B10" s="5" t="s">
        <v>48</v>
      </c>
      <c r="C10" s="5"/>
      <c r="D10" s="5"/>
      <c r="E10" s="7" t="n">
        <v>741</v>
      </c>
      <c r="F10" s="5" t="s">
        <v>322</v>
      </c>
      <c r="G10" s="5"/>
      <c r="H10" s="5"/>
      <c r="I10" s="7" t="n">
        <v>704</v>
      </c>
      <c r="J10" s="8" t="n">
        <v>37</v>
      </c>
      <c r="K10" s="5" t="s">
        <v>323</v>
      </c>
      <c r="L10" s="5"/>
      <c r="M10" s="5"/>
      <c r="N10" s="7" t="n">
        <v>690</v>
      </c>
      <c r="O10" s="8" t="n">
        <v>51</v>
      </c>
      <c r="P10" s="5" t="s">
        <v>324</v>
      </c>
      <c r="Q10" s="5"/>
      <c r="R10" s="5"/>
      <c r="S10" s="7" t="n">
        <v>1065</v>
      </c>
      <c r="T10" s="8" t="n">
        <v>-324</v>
      </c>
    </row>
    <row r="11">
      <c r="A11" s="4" t="s">
        <v>52</v>
      </c>
      <c r="B11" s="5" t="s">
        <v>53</v>
      </c>
      <c r="C11" s="5"/>
      <c r="D11" s="5"/>
      <c r="E11" s="7" t="n">
        <v>2120</v>
      </c>
      <c r="F11" s="5" t="s">
        <v>55</v>
      </c>
      <c r="G11" s="5"/>
      <c r="H11" s="5"/>
      <c r="I11" s="7" t="n">
        <v>2263</v>
      </c>
      <c r="J11" s="8" t="n">
        <v>-143</v>
      </c>
      <c r="K11" s="5" t="s">
        <v>264</v>
      </c>
      <c r="L11" s="5"/>
      <c r="M11" s="5"/>
      <c r="N11" s="7" t="n">
        <v>2517</v>
      </c>
      <c r="O11" s="8" t="n">
        <v>-397</v>
      </c>
      <c r="P11" s="5" t="s">
        <v>325</v>
      </c>
      <c r="Q11" s="5"/>
      <c r="R11" s="5"/>
      <c r="S11" s="7" t="n">
        <v>1479</v>
      </c>
      <c r="T11" s="8" t="n">
        <v>641</v>
      </c>
    </row>
    <row r="12">
      <c r="A12" s="4" t="s">
        <v>57</v>
      </c>
      <c r="B12" s="5" t="s">
        <v>58</v>
      </c>
      <c r="C12" s="5"/>
      <c r="D12" s="5"/>
      <c r="E12" s="6" t="n">
        <v>2928</v>
      </c>
      <c r="F12" s="5" t="s">
        <v>326</v>
      </c>
      <c r="G12" s="5"/>
      <c r="H12" s="5"/>
      <c r="I12" s="6" t="n">
        <v>2494</v>
      </c>
      <c r="J12" s="6" t="n">
        <v>434</v>
      </c>
      <c r="K12" s="5" t="s">
        <v>327</v>
      </c>
      <c r="L12" s="5"/>
      <c r="M12" s="5"/>
      <c r="N12" s="6" t="n">
        <v>2607</v>
      </c>
      <c r="O12" s="6" t="n">
        <v>321</v>
      </c>
      <c r="P12" s="5" t="s">
        <v>328</v>
      </c>
      <c r="Q12" s="5"/>
      <c r="R12" s="5"/>
      <c r="S12" s="6" t="n">
        <v>2554</v>
      </c>
      <c r="T12" s="6" t="n">
        <v>374</v>
      </c>
    </row>
    <row r="13">
      <c r="A13" s="4" t="s">
        <v>62</v>
      </c>
      <c r="B13" s="5" t="s">
        <v>63</v>
      </c>
      <c r="C13" s="5"/>
      <c r="D13" s="5"/>
      <c r="E13" s="6" t="n">
        <v>-1963</v>
      </c>
      <c r="F13" s="5" t="s">
        <v>329</v>
      </c>
      <c r="G13" s="5"/>
      <c r="H13" s="5"/>
      <c r="I13" s="6" t="n">
        <v>1445</v>
      </c>
      <c r="J13" s="6" t="n">
        <v>-3408</v>
      </c>
      <c r="K13" s="5" t="s">
        <v>330</v>
      </c>
      <c r="L13" s="5"/>
      <c r="M13" s="5"/>
      <c r="N13" s="6" t="n">
        <v>3364</v>
      </c>
      <c r="O13" s="6" t="n">
        <v>-5327</v>
      </c>
      <c r="P13" s="5" t="s">
        <v>331</v>
      </c>
      <c r="Q13" s="5"/>
      <c r="R13" s="5"/>
      <c r="S13" s="6" t="n">
        <v>5772</v>
      </c>
      <c r="T13" s="6" t="n">
        <v>-7735</v>
      </c>
    </row>
    <row r="14">
      <c r="A14" s="4" t="s">
        <v>67</v>
      </c>
      <c r="B14" s="5" t="s">
        <v>68</v>
      </c>
      <c r="C14" s="5"/>
      <c r="D14" s="5"/>
      <c r="E14" s="6" t="n">
        <v>-34</v>
      </c>
      <c r="F14" s="5" t="s">
        <v>68</v>
      </c>
      <c r="G14" s="5"/>
      <c r="H14" s="5"/>
      <c r="I14" s="6" t="n">
        <v>-36</v>
      </c>
      <c r="J14" s="6" t="n">
        <v>2</v>
      </c>
      <c r="K14" s="5" t="s">
        <v>68</v>
      </c>
      <c r="L14" s="5"/>
      <c r="M14" s="5"/>
      <c r="N14" s="6" t="n">
        <v>-38</v>
      </c>
      <c r="O14" s="6" t="n">
        <v>4</v>
      </c>
      <c r="P14" s="5" t="s">
        <v>69</v>
      </c>
      <c r="Q14" s="5"/>
      <c r="R14" s="5"/>
      <c r="S14" s="6" t="n">
        <v>1611</v>
      </c>
      <c r="T14" s="6" t="n">
        <v>-1646</v>
      </c>
    </row>
    <row r="15">
      <c r="A15" s="4" t="s">
        <v>70</v>
      </c>
      <c r="B15" s="5" t="s">
        <v>71</v>
      </c>
      <c r="C15" s="5"/>
      <c r="D15" s="5"/>
      <c r="E15" s="6" t="n">
        <v>0</v>
      </c>
      <c r="F15" s="5" t="s">
        <v>71</v>
      </c>
      <c r="G15" s="5"/>
      <c r="H15" s="5"/>
      <c r="I15" s="6" t="n">
        <v>0</v>
      </c>
      <c r="J15" s="6" t="n">
        <v>0</v>
      </c>
      <c r="K15" s="5" t="s">
        <v>72</v>
      </c>
      <c r="L15" s="5"/>
      <c r="M15" s="5"/>
      <c r="N15" s="6" t="n">
        <v>0</v>
      </c>
      <c r="O15" s="6" t="n">
        <v>0</v>
      </c>
      <c r="P15" s="5" t="s">
        <v>68</v>
      </c>
      <c r="Q15" s="5"/>
      <c r="R15" s="5"/>
      <c r="S15" s="6" t="n">
        <v>0</v>
      </c>
      <c r="T15" s="6" t="n">
        <v>0</v>
      </c>
    </row>
    <row r="16">
      <c r="A16" s="4" t="s">
        <v>73</v>
      </c>
      <c r="B16" s="5" t="s">
        <v>74</v>
      </c>
      <c r="C16" s="5"/>
      <c r="D16" s="5"/>
      <c r="E16" s="6" t="n">
        <v>79</v>
      </c>
      <c r="F16" s="5" t="s">
        <v>74</v>
      </c>
      <c r="G16" s="5"/>
      <c r="H16" s="5"/>
      <c r="I16" s="6" t="n">
        <v>83</v>
      </c>
      <c r="J16" s="6" t="n">
        <v>-4</v>
      </c>
      <c r="K16" s="5" t="s">
        <v>74</v>
      </c>
      <c r="L16" s="5"/>
      <c r="M16" s="5"/>
      <c r="N16" s="6" t="n">
        <v>88</v>
      </c>
      <c r="O16" s="6" t="n">
        <v>-9</v>
      </c>
      <c r="P16" s="5" t="s">
        <v>71</v>
      </c>
      <c r="Q16" s="5"/>
      <c r="R16" s="5"/>
      <c r="S16" s="6" t="n">
        <v>176</v>
      </c>
      <c r="T16" s="6" t="n">
        <v>-97</v>
      </c>
    </row>
    <row r="17">
      <c r="A17" s="4" t="s">
        <v>75</v>
      </c>
      <c r="B17" s="5"/>
      <c r="C17" s="5"/>
      <c r="D17" s="5"/>
      <c r="E17" s="6" t="n">
        <v>-177</v>
      </c>
      <c r="F17" s="5"/>
      <c r="G17" s="5"/>
      <c r="H17" s="5"/>
      <c r="I17" s="6" t="n">
        <v>-172</v>
      </c>
      <c r="J17" s="6" t="n">
        <v>-4</v>
      </c>
      <c r="K17" s="5"/>
      <c r="L17" s="5"/>
      <c r="M17" s="5"/>
      <c r="N17" s="6" t="n">
        <v>-153</v>
      </c>
      <c r="O17" s="6" t="n">
        <v>-24</v>
      </c>
      <c r="P17" s="5"/>
      <c r="Q17" s="5"/>
      <c r="R17" s="5"/>
      <c r="S17" s="6" t="n">
        <v>-98</v>
      </c>
      <c r="T17" s="6" t="n">
        <v>-78</v>
      </c>
    </row>
    <row r="18">
      <c r="A18" s="4" t="s">
        <v>76</v>
      </c>
      <c r="B18" s="5"/>
      <c r="C18" s="5"/>
      <c r="D18" s="5"/>
      <c r="E18" s="6" t="n">
        <v>319</v>
      </c>
      <c r="F18" s="5"/>
      <c r="G18" s="5"/>
      <c r="H18" s="5"/>
      <c r="I18" s="6" t="n">
        <v>231</v>
      </c>
      <c r="J18" s="6" t="n">
        <v>88</v>
      </c>
      <c r="K18" s="5"/>
      <c r="L18" s="5"/>
      <c r="M18" s="5"/>
      <c r="N18" s="6" t="n">
        <v>123</v>
      </c>
      <c r="O18" s="6" t="n">
        <v>196</v>
      </c>
      <c r="P18" s="5"/>
      <c r="Q18" s="5"/>
      <c r="R18" s="5"/>
      <c r="S18" s="6" t="n">
        <v>-1092</v>
      </c>
      <c r="T18" s="6" t="n">
        <v>1411</v>
      </c>
    </row>
    <row r="19">
      <c r="A19" s="4" t="s">
        <v>77</v>
      </c>
      <c r="B19" s="5"/>
      <c r="C19" s="5"/>
      <c r="D19" s="5"/>
      <c r="E19" s="6" t="n">
        <v>453</v>
      </c>
      <c r="F19" s="5"/>
      <c r="G19" s="5"/>
      <c r="H19" s="5"/>
      <c r="I19" s="6" t="n">
        <v>70</v>
      </c>
      <c r="J19" s="6" t="n">
        <v>382</v>
      </c>
      <c r="K19" s="5"/>
      <c r="L19" s="5"/>
      <c r="M19" s="5"/>
      <c r="N19" s="6" t="n">
        <v>0</v>
      </c>
      <c r="O19" s="6" t="n">
        <v>453</v>
      </c>
      <c r="P19" s="5"/>
      <c r="Q19" s="5"/>
      <c r="R19" s="5"/>
      <c r="S19" s="6" t="n">
        <v>657</v>
      </c>
      <c r="T19" s="6" t="n">
        <v>-204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78</v>
      </c>
      <c r="B21" s="3" t="s">
        <v>79</v>
      </c>
      <c r="C21" s="3"/>
      <c r="D21" s="3"/>
      <c r="E21" s="3" t="s">
        <v>26</v>
      </c>
      <c r="F21" s="3" t="s">
        <v>80</v>
      </c>
      <c r="G21" s="3"/>
      <c r="H21" s="3"/>
      <c r="I21" s="3" t="s">
        <v>26</v>
      </c>
      <c r="J21" s="3" t="s">
        <v>27</v>
      </c>
      <c r="K21" s="3" t="s">
        <v>80</v>
      </c>
      <c r="L21" s="3"/>
      <c r="M21" s="3"/>
      <c r="N21" s="3" t="s">
        <v>26</v>
      </c>
      <c r="O21" s="3" t="s">
        <v>27</v>
      </c>
      <c r="P21" s="3" t="s">
        <v>80</v>
      </c>
      <c r="Q21" s="3"/>
      <c r="R21" s="3"/>
      <c r="S21" s="3" t="s">
        <v>26</v>
      </c>
      <c r="T21" s="3" t="s">
        <v>27</v>
      </c>
    </row>
    <row r="22">
      <c r="A22" s="4" t="s">
        <v>81</v>
      </c>
      <c r="B22" s="9" t="n">
        <v>9.1</v>
      </c>
      <c r="C22" s="2"/>
      <c r="D22" s="2"/>
      <c r="E22" s="11" t="str">
        <f>510045-SUM(E23:E33)</f>
      </c>
      <c r="F22" s="9" t="n">
        <v>5.86</v>
      </c>
      <c r="G22" s="5"/>
      <c r="H22" s="5"/>
      <c r="I22" s="10" t="str">
        <f>95144-SUM(I23:I33)</f>
      </c>
      <c r="J22" s="10" t="str">
        <f>E22-I22</f>
      </c>
      <c r="K22" s="9" t="n">
        <v>7.11</v>
      </c>
      <c r="L22" s="5"/>
      <c r="M22" s="5"/>
      <c r="N22" s="10" t="str">
        <f>222878-SUM(N23:N33)</f>
      </c>
      <c r="O22" s="10" t="str">
        <f>E22-N22</f>
      </c>
      <c r="P22" s="9" t="n">
        <v>9.16</v>
      </c>
      <c r="Q22" s="5"/>
      <c r="R22" s="5"/>
      <c r="S22" s="10" t="str">
        <f>643467-SUM(S23:S33)</f>
      </c>
      <c r="T22" s="10" t="str">
        <f>E22-S22</f>
      </c>
    </row>
    <row r="23">
      <c r="A23" s="4" t="s">
        <v>82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83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84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85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86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87</v>
      </c>
      <c r="B34" s="5"/>
      <c r="C34" s="5"/>
      <c r="D34" s="5"/>
      <c r="E34" s="6" t="n">
        <v>2664298</v>
      </c>
      <c r="F34" s="5"/>
      <c r="G34" s="5"/>
      <c r="H34" s="5"/>
      <c r="I34" s="5"/>
      <c r="J34" s="6" t="n">
        <v>261344</v>
      </c>
      <c r="K34" s="5"/>
      <c r="L34" s="5"/>
      <c r="M34" s="5"/>
      <c r="N34" s="5"/>
      <c r="O34" s="6" t="n">
        <v>-10656</v>
      </c>
      <c r="P34" s="5"/>
      <c r="Q34" s="5"/>
      <c r="R34" s="5"/>
      <c r="S34" s="5"/>
      <c r="T34" s="6" t="n">
        <v>-652656</v>
      </c>
    </row>
    <row r="35">
      <c r="A35" s="4" t="s">
        <v>88</v>
      </c>
      <c r="B35" s="5"/>
      <c r="C35" s="5"/>
      <c r="D35" s="5"/>
      <c r="E35" s="5"/>
      <c r="F35" s="5"/>
      <c r="G35" s="5"/>
      <c r="H35" s="5"/>
      <c r="I35" s="5"/>
      <c r="J35" s="12" t="n">
        <v>0.09</v>
      </c>
      <c r="K35" s="5"/>
      <c r="L35" s="5"/>
      <c r="M35" s="5"/>
      <c r="N35" s="5"/>
      <c r="O35" s="12" t="n">
        <v>-0.003</v>
      </c>
      <c r="P35" s="5"/>
      <c r="Q35" s="5"/>
      <c r="R35" s="5"/>
      <c r="S35" s="5"/>
      <c r="T35" s="12" t="n">
        <v>-0.171</v>
      </c>
    </row>
    <row r="36">
      <c r="A36" s="4" t="s">
        <v>89</v>
      </c>
      <c r="B36" s="5"/>
      <c r="C36" s="5"/>
      <c r="D36" s="5"/>
      <c r="E36" s="5"/>
      <c r="F36" s="5"/>
      <c r="G36" s="5"/>
      <c r="H36" s="5"/>
      <c r="I36" s="5"/>
      <c r="J36" s="12" t="n">
        <v>0.213</v>
      </c>
      <c r="K36" s="5"/>
      <c r="L36" s="5"/>
      <c r="M36" s="5"/>
      <c r="N36" s="5"/>
      <c r="O36" s="12" t="n">
        <v>0.215</v>
      </c>
      <c r="P36" s="5"/>
      <c r="Q36" s="5"/>
      <c r="R36" s="5"/>
      <c r="S36" s="5"/>
      <c r="T36" s="12" t="n">
        <v>0.217</v>
      </c>
    </row>
    <row r="37">
      <c r="A37" s="14" t="s">
        <v>90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91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332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333</v>
      </c>
      <c r="G2" s="2"/>
      <c r="H2" s="2"/>
      <c r="I2" s="2"/>
      <c r="J2" s="2"/>
      <c r="K2" s="2" t="s">
        <v>334</v>
      </c>
      <c r="L2" s="2"/>
      <c r="M2" s="2"/>
      <c r="N2" s="2"/>
      <c r="O2" s="2"/>
      <c r="P2" s="2" t="s">
        <v>335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336</v>
      </c>
      <c r="G3" s="3"/>
      <c r="H3" s="3"/>
      <c r="I3" s="3"/>
      <c r="J3" s="3"/>
      <c r="K3" s="3" t="s">
        <v>337</v>
      </c>
      <c r="L3" s="3"/>
      <c r="M3" s="3"/>
      <c r="N3" s="3"/>
      <c r="O3" s="3"/>
      <c r="P3" s="3" t="s">
        <v>338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339</v>
      </c>
      <c r="G4" s="5" t="s">
        <v>340</v>
      </c>
      <c r="H4" s="5" t="n">
        <v>40</v>
      </c>
      <c r="I4" s="5" t="s">
        <v>341</v>
      </c>
      <c r="J4" s="5"/>
      <c r="K4" s="5" t="s">
        <v>342</v>
      </c>
      <c r="L4" s="5" t="s">
        <v>343</v>
      </c>
      <c r="M4" s="5" t="n">
        <v>1</v>
      </c>
      <c r="N4" s="5" t="s">
        <v>344</v>
      </c>
      <c r="O4" s="5"/>
      <c r="P4" s="5" t="s">
        <v>345</v>
      </c>
      <c r="Q4" s="5" t="s">
        <v>346</v>
      </c>
      <c r="R4" s="5" t="n">
        <v>2</v>
      </c>
      <c r="S4" s="5" t="s">
        <v>347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2640000</v>
      </c>
      <c r="G5" s="6" t="n">
        <v>0</v>
      </c>
      <c r="H5" s="6" t="str">
        <f>F5-G5</f>
      </c>
      <c r="I5" s="5"/>
      <c r="J5" s="5"/>
      <c r="K5" s="6" t="n">
        <v>2843000</v>
      </c>
      <c r="L5" s="6" t="n">
        <v>0</v>
      </c>
      <c r="M5" s="6" t="str">
        <f>K5-L5</f>
      </c>
      <c r="N5" s="5"/>
      <c r="O5" s="5"/>
      <c r="P5" s="6" t="n">
        <v>3058000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348</v>
      </c>
      <c r="G8" s="5" t="n">
        <v>205</v>
      </c>
      <c r="H8" s="5" t="n">
        <v>40</v>
      </c>
      <c r="I8" s="5"/>
      <c r="J8" s="5"/>
      <c r="K8" s="5" t="s">
        <v>349</v>
      </c>
      <c r="L8" s="5" t="n">
        <v>103</v>
      </c>
      <c r="M8" s="5" t="n">
        <v>1</v>
      </c>
      <c r="N8" s="5"/>
      <c r="O8" s="5"/>
      <c r="P8" s="5" t="s">
        <v>350</v>
      </c>
      <c r="Q8" s="5" t="n">
        <v>140</v>
      </c>
      <c r="R8" s="5" t="n">
        <v>2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2659832</v>
      </c>
      <c r="F9" s="5" t="s">
        <v>351</v>
      </c>
      <c r="G9" s="5" t="s">
        <v>222</v>
      </c>
      <c r="H9" s="5" t="s">
        <v>37</v>
      </c>
      <c r="I9" s="7" t="n">
        <v>2426352</v>
      </c>
      <c r="J9" s="8" t="n">
        <v>233480</v>
      </c>
      <c r="K9" s="5" t="s">
        <v>38</v>
      </c>
      <c r="L9" s="5" t="s">
        <v>148</v>
      </c>
      <c r="M9" s="5" t="s">
        <v>40</v>
      </c>
      <c r="N9" s="7" t="n">
        <v>2797793</v>
      </c>
      <c r="O9" s="8" t="n">
        <v>-137961</v>
      </c>
      <c r="P9" s="5" t="s">
        <v>352</v>
      </c>
      <c r="Q9" s="5" t="s">
        <v>148</v>
      </c>
      <c r="R9" s="5" t="s">
        <v>40</v>
      </c>
      <c r="S9" s="7" t="n">
        <v>2912217</v>
      </c>
      <c r="T9" s="8" t="n">
        <v>-252385</v>
      </c>
    </row>
    <row r="10">
      <c r="A10" s="4" t="s">
        <v>47</v>
      </c>
      <c r="B10" s="5" t="s">
        <v>48</v>
      </c>
      <c r="C10" s="5"/>
      <c r="D10" s="5"/>
      <c r="E10" s="7" t="n">
        <v>741</v>
      </c>
      <c r="F10" s="5" t="s">
        <v>353</v>
      </c>
      <c r="G10" s="5"/>
      <c r="H10" s="5"/>
      <c r="I10" s="7" t="n">
        <v>678</v>
      </c>
      <c r="J10" s="8" t="n">
        <v>63</v>
      </c>
      <c r="K10" s="5" t="s">
        <v>354</v>
      </c>
      <c r="L10" s="5"/>
      <c r="M10" s="5"/>
      <c r="N10" s="7" t="n">
        <v>1599</v>
      </c>
      <c r="O10" s="8" t="n">
        <v>-858</v>
      </c>
      <c r="P10" s="5" t="s">
        <v>355</v>
      </c>
      <c r="Q10" s="5"/>
      <c r="R10" s="5"/>
      <c r="S10" s="7" t="n">
        <v>1679</v>
      </c>
      <c r="T10" s="8" t="n">
        <v>-938</v>
      </c>
    </row>
    <row r="11">
      <c r="A11" s="4" t="s">
        <v>52</v>
      </c>
      <c r="B11" s="5" t="s">
        <v>53</v>
      </c>
      <c r="C11" s="5"/>
      <c r="D11" s="5"/>
      <c r="E11" s="7" t="n">
        <v>2120</v>
      </c>
      <c r="F11" s="5" t="s">
        <v>356</v>
      </c>
      <c r="G11" s="5"/>
      <c r="H11" s="5"/>
      <c r="I11" s="7" t="n">
        <v>2417</v>
      </c>
      <c r="J11" s="8" t="n">
        <v>-297</v>
      </c>
      <c r="K11" s="5" t="s">
        <v>121</v>
      </c>
      <c r="L11" s="5"/>
      <c r="M11" s="5"/>
      <c r="N11" s="7" t="n">
        <v>-1932</v>
      </c>
      <c r="O11" s="8" t="n">
        <v>4052</v>
      </c>
      <c r="P11" s="5" t="s">
        <v>121</v>
      </c>
      <c r="Q11" s="5"/>
      <c r="R11" s="5"/>
      <c r="S11" s="7" t="n">
        <v>-2011</v>
      </c>
      <c r="T11" s="8" t="n">
        <v>4131</v>
      </c>
    </row>
    <row r="12">
      <c r="A12" s="4" t="s">
        <v>57</v>
      </c>
      <c r="B12" s="5" t="s">
        <v>58</v>
      </c>
      <c r="C12" s="5"/>
      <c r="D12" s="5"/>
      <c r="E12" s="6" t="n">
        <v>2928</v>
      </c>
      <c r="F12" s="5" t="s">
        <v>357</v>
      </c>
      <c r="G12" s="5"/>
      <c r="H12" s="5"/>
      <c r="I12" s="6" t="n">
        <v>1950</v>
      </c>
      <c r="J12" s="6" t="n">
        <v>978</v>
      </c>
      <c r="K12" s="5" t="s">
        <v>358</v>
      </c>
      <c r="L12" s="5"/>
      <c r="M12" s="5"/>
      <c r="N12" s="6" t="n">
        <v>2690</v>
      </c>
      <c r="O12" s="6" t="n">
        <v>238</v>
      </c>
      <c r="P12" s="5" t="s">
        <v>359</v>
      </c>
      <c r="Q12" s="5"/>
      <c r="R12" s="5"/>
      <c r="S12" s="6" t="n">
        <v>2633</v>
      </c>
      <c r="T12" s="6" t="n">
        <v>295</v>
      </c>
    </row>
    <row r="13">
      <c r="A13" s="4" t="s">
        <v>62</v>
      </c>
      <c r="B13" s="5" t="s">
        <v>63</v>
      </c>
      <c r="C13" s="5"/>
      <c r="D13" s="5"/>
      <c r="E13" s="6" t="n">
        <v>-1963</v>
      </c>
      <c r="F13" s="5" t="s">
        <v>360</v>
      </c>
      <c r="G13" s="5"/>
      <c r="H13" s="5"/>
      <c r="I13" s="6" t="n">
        <v>-4654</v>
      </c>
      <c r="J13" s="6" t="n">
        <v>2691</v>
      </c>
      <c r="K13" s="5" t="s">
        <v>361</v>
      </c>
      <c r="L13" s="5"/>
      <c r="M13" s="5"/>
      <c r="N13" s="6" t="n">
        <v>2609</v>
      </c>
      <c r="O13" s="6" t="n">
        <v>-4571</v>
      </c>
      <c r="P13" s="5" t="s">
        <v>64</v>
      </c>
      <c r="Q13" s="5"/>
      <c r="R13" s="5"/>
      <c r="S13" s="6" t="n">
        <v>4033</v>
      </c>
      <c r="T13" s="6" t="n">
        <v>-5996</v>
      </c>
    </row>
    <row r="14">
      <c r="A14" s="4" t="s">
        <v>67</v>
      </c>
      <c r="B14" s="5" t="s">
        <v>68</v>
      </c>
      <c r="C14" s="5"/>
      <c r="D14" s="5"/>
      <c r="E14" s="6" t="n">
        <v>-34</v>
      </c>
      <c r="F14" s="5" t="s">
        <v>68</v>
      </c>
      <c r="G14" s="5"/>
      <c r="H14" s="5"/>
      <c r="I14" s="6" t="n">
        <v>-32</v>
      </c>
      <c r="J14" s="6" t="n">
        <v>-3</v>
      </c>
      <c r="K14" s="5" t="s">
        <v>69</v>
      </c>
      <c r="L14" s="5"/>
      <c r="M14" s="5"/>
      <c r="N14" s="6" t="n">
        <v>1421</v>
      </c>
      <c r="O14" s="6" t="n">
        <v>-1455</v>
      </c>
      <c r="P14" s="5" t="s">
        <v>69</v>
      </c>
      <c r="Q14" s="5"/>
      <c r="R14" s="5"/>
      <c r="S14" s="6" t="n">
        <v>1479</v>
      </c>
      <c r="T14" s="6" t="n">
        <v>-1513</v>
      </c>
    </row>
    <row r="15">
      <c r="A15" s="4" t="s">
        <v>70</v>
      </c>
      <c r="B15" s="5" t="s">
        <v>71</v>
      </c>
      <c r="C15" s="5"/>
      <c r="D15" s="5"/>
      <c r="E15" s="6" t="n">
        <v>0</v>
      </c>
      <c r="F15" s="5" t="s">
        <v>71</v>
      </c>
      <c r="G15" s="5"/>
      <c r="H15" s="5"/>
      <c r="I15" s="6" t="n">
        <v>0</v>
      </c>
      <c r="J15" s="6" t="n">
        <v>0</v>
      </c>
      <c r="K15" s="5" t="s">
        <v>71</v>
      </c>
      <c r="L15" s="5"/>
      <c r="M15" s="5"/>
      <c r="N15" s="6" t="n">
        <v>0</v>
      </c>
      <c r="O15" s="6" t="n">
        <v>0</v>
      </c>
      <c r="P15" s="5" t="s">
        <v>68</v>
      </c>
      <c r="Q15" s="5"/>
      <c r="R15" s="5"/>
      <c r="S15" s="6" t="n">
        <v>0</v>
      </c>
      <c r="T15" s="6" t="n">
        <v>0</v>
      </c>
    </row>
    <row r="16">
      <c r="A16" s="4" t="s">
        <v>73</v>
      </c>
      <c r="B16" s="5" t="s">
        <v>74</v>
      </c>
      <c r="C16" s="5"/>
      <c r="D16" s="5"/>
      <c r="E16" s="6" t="n">
        <v>79</v>
      </c>
      <c r="F16" s="5" t="s">
        <v>71</v>
      </c>
      <c r="G16" s="5"/>
      <c r="H16" s="5"/>
      <c r="I16" s="6" t="n">
        <v>134</v>
      </c>
      <c r="J16" s="6" t="n">
        <v>-56</v>
      </c>
      <c r="K16" s="5" t="s">
        <v>71</v>
      </c>
      <c r="L16" s="5"/>
      <c r="M16" s="5"/>
      <c r="N16" s="6" t="n">
        <v>155</v>
      </c>
      <c r="O16" s="6" t="n">
        <v>-76</v>
      </c>
      <c r="P16" s="5" t="s">
        <v>71</v>
      </c>
      <c r="Q16" s="5"/>
      <c r="R16" s="5"/>
      <c r="S16" s="6" t="n">
        <v>161</v>
      </c>
      <c r="T16" s="6" t="n">
        <v>-82</v>
      </c>
    </row>
    <row r="17">
      <c r="A17" s="4" t="s">
        <v>75</v>
      </c>
      <c r="B17" s="5"/>
      <c r="C17" s="5"/>
      <c r="D17" s="5"/>
      <c r="E17" s="6" t="n">
        <v>-177</v>
      </c>
      <c r="F17" s="5"/>
      <c r="G17" s="5"/>
      <c r="H17" s="5"/>
      <c r="I17" s="6" t="n">
        <v>-219</v>
      </c>
      <c r="J17" s="6" t="n">
        <v>42</v>
      </c>
      <c r="K17" s="5"/>
      <c r="L17" s="5"/>
      <c r="M17" s="5"/>
      <c r="N17" s="6" t="n">
        <v>-158</v>
      </c>
      <c r="O17" s="6" t="n">
        <v>-18</v>
      </c>
      <c r="P17" s="5"/>
      <c r="Q17" s="5"/>
      <c r="R17" s="5"/>
      <c r="S17" s="6" t="n">
        <v>-139</v>
      </c>
      <c r="T17" s="6" t="n">
        <v>-38</v>
      </c>
    </row>
    <row r="18">
      <c r="A18" s="4" t="s">
        <v>76</v>
      </c>
      <c r="B18" s="5"/>
      <c r="C18" s="5"/>
      <c r="D18" s="5"/>
      <c r="E18" s="6" t="n">
        <v>319</v>
      </c>
      <c r="F18" s="5"/>
      <c r="G18" s="5"/>
      <c r="H18" s="5"/>
      <c r="I18" s="6" t="n">
        <v>286</v>
      </c>
      <c r="J18" s="6" t="n">
        <v>34</v>
      </c>
      <c r="K18" s="5"/>
      <c r="L18" s="5"/>
      <c r="M18" s="5"/>
      <c r="N18" s="6" t="n">
        <v>-613</v>
      </c>
      <c r="O18" s="6" t="n">
        <v>932</v>
      </c>
      <c r="P18" s="5"/>
      <c r="Q18" s="5"/>
      <c r="R18" s="5"/>
      <c r="S18" s="6" t="n">
        <v>-830</v>
      </c>
      <c r="T18" s="6" t="n">
        <v>1149</v>
      </c>
    </row>
    <row r="19">
      <c r="A19" s="4" t="s">
        <v>77</v>
      </c>
      <c r="B19" s="5"/>
      <c r="C19" s="5"/>
      <c r="D19" s="5"/>
      <c r="E19" s="6" t="n">
        <v>453</v>
      </c>
      <c r="F19" s="5"/>
      <c r="G19" s="5"/>
      <c r="H19" s="5"/>
      <c r="I19" s="6" t="n">
        <v>671</v>
      </c>
      <c r="J19" s="6" t="n">
        <v>-218</v>
      </c>
      <c r="K19" s="5"/>
      <c r="L19" s="5"/>
      <c r="M19" s="5"/>
      <c r="N19" s="6" t="n">
        <v>-97</v>
      </c>
      <c r="O19" s="6" t="n">
        <v>550</v>
      </c>
      <c r="P19" s="5"/>
      <c r="Q19" s="5"/>
      <c r="R19" s="5"/>
      <c r="S19" s="6" t="n">
        <v>326</v>
      </c>
      <c r="T19" s="6" t="n">
        <v>126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78</v>
      </c>
      <c r="B21" s="3" t="s">
        <v>79</v>
      </c>
      <c r="C21" s="3"/>
      <c r="D21" s="3"/>
      <c r="E21" s="3" t="s">
        <v>26</v>
      </c>
      <c r="F21" s="3" t="s">
        <v>80</v>
      </c>
      <c r="G21" s="3"/>
      <c r="H21" s="3"/>
      <c r="I21" s="3" t="s">
        <v>26</v>
      </c>
      <c r="J21" s="3" t="s">
        <v>27</v>
      </c>
      <c r="K21" s="3" t="s">
        <v>80</v>
      </c>
      <c r="L21" s="3"/>
      <c r="M21" s="3"/>
      <c r="N21" s="3" t="s">
        <v>26</v>
      </c>
      <c r="O21" s="3" t="s">
        <v>27</v>
      </c>
      <c r="P21" s="3" t="s">
        <v>80</v>
      </c>
      <c r="Q21" s="3"/>
      <c r="R21" s="3"/>
      <c r="S21" s="3" t="s">
        <v>26</v>
      </c>
      <c r="T21" s="3" t="s">
        <v>27</v>
      </c>
    </row>
    <row r="22">
      <c r="A22" s="4" t="s">
        <v>81</v>
      </c>
      <c r="B22" s="9" t="n">
        <v>9.1</v>
      </c>
      <c r="C22" s="2"/>
      <c r="D22" s="2"/>
      <c r="E22" s="11" t="str">
        <f>510045-SUM(E23:E33)</f>
      </c>
      <c r="F22" s="9" t="n">
        <v>7.04</v>
      </c>
      <c r="G22" s="5"/>
      <c r="H22" s="5"/>
      <c r="I22" s="10" t="str">
        <f>212416-SUM(I23:I33)</f>
      </c>
      <c r="J22" s="10" t="str">
        <f>E22-I22</f>
      </c>
      <c r="K22" s="9" t="n">
        <v>5.2</v>
      </c>
      <c r="L22" s="5"/>
      <c r="M22" s="5"/>
      <c r="N22" s="10" t="str">
        <f>39534-SUM(N23:N33)</f>
      </c>
      <c r="O22" s="10" t="str">
        <f>E22-N22</f>
      </c>
      <c r="P22" s="9" t="n">
        <v>6.23</v>
      </c>
      <c r="Q22" s="5"/>
      <c r="R22" s="5"/>
      <c r="S22" s="10" t="str">
        <f>138451-SUM(S23:S33)</f>
      </c>
      <c r="T22" s="10" t="str">
        <f>E22-S22</f>
      </c>
    </row>
    <row r="23">
      <c r="A23" s="4" t="s">
        <v>82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83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84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85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86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87</v>
      </c>
      <c r="B34" s="5"/>
      <c r="C34" s="5"/>
      <c r="D34" s="5"/>
      <c r="E34" s="6" t="n">
        <v>2664298</v>
      </c>
      <c r="F34" s="5"/>
      <c r="G34" s="5"/>
      <c r="H34" s="5"/>
      <c r="I34" s="5"/>
      <c r="J34" s="6" t="n">
        <v>534344</v>
      </c>
      <c r="K34" s="5"/>
      <c r="L34" s="5"/>
      <c r="M34" s="5"/>
      <c r="N34" s="5"/>
      <c r="O34" s="6" t="n">
        <v>331344</v>
      </c>
      <c r="P34" s="5"/>
      <c r="Q34" s="5"/>
      <c r="R34" s="5"/>
      <c r="S34" s="5"/>
      <c r="T34" s="6" t="n">
        <v>116344</v>
      </c>
    </row>
    <row r="35">
      <c r="A35" s="4" t="s">
        <v>88</v>
      </c>
      <c r="B35" s="5"/>
      <c r="C35" s="5"/>
      <c r="D35" s="5"/>
      <c r="E35" s="5"/>
      <c r="F35" s="5"/>
      <c r="G35" s="5"/>
      <c r="H35" s="5"/>
      <c r="I35" s="5"/>
      <c r="J35" s="12" t="n">
        <v>0.202</v>
      </c>
      <c r="K35" s="5"/>
      <c r="L35" s="5"/>
      <c r="M35" s="5"/>
      <c r="N35" s="5"/>
      <c r="O35" s="12" t="n">
        <v>0.117</v>
      </c>
      <c r="P35" s="5"/>
      <c r="Q35" s="5"/>
      <c r="R35" s="5"/>
      <c r="S35" s="5"/>
      <c r="T35" s="12" t="n">
        <v>0.038</v>
      </c>
    </row>
    <row r="36">
      <c r="A36" s="4" t="s">
        <v>89</v>
      </c>
      <c r="B36" s="5"/>
      <c r="C36" s="5"/>
      <c r="D36" s="5"/>
      <c r="E36" s="5"/>
      <c r="F36" s="5"/>
      <c r="G36" s="5"/>
      <c r="H36" s="5"/>
      <c r="I36" s="5"/>
      <c r="J36" s="12" t="n">
        <v>0.233</v>
      </c>
      <c r="K36" s="5"/>
      <c r="L36" s="5"/>
      <c r="M36" s="5"/>
      <c r="N36" s="5"/>
      <c r="O36" s="12" t="n">
        <v>0.235</v>
      </c>
      <c r="P36" s="5"/>
      <c r="Q36" s="5"/>
      <c r="R36" s="5"/>
      <c r="S36" s="5"/>
      <c r="T36" s="12" t="n">
        <v>0.237</v>
      </c>
    </row>
    <row r="37">
      <c r="A37" s="14" t="s">
        <v>90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91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363</v>
      </c>
      <c r="G2" s="2"/>
      <c r="H2" s="2"/>
      <c r="I2" s="2"/>
      <c r="J2" s="2"/>
      <c r="K2" s="2" t="s">
        <v>364</v>
      </c>
      <c r="L2" s="2"/>
      <c r="M2" s="2"/>
      <c r="N2" s="2"/>
      <c r="O2" s="2"/>
      <c r="P2" s="2" t="s">
        <v>365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366</v>
      </c>
      <c r="G3" s="3"/>
      <c r="H3" s="3"/>
      <c r="I3" s="3"/>
      <c r="J3" s="3"/>
      <c r="K3" s="3" t="s">
        <v>367</v>
      </c>
      <c r="L3" s="3"/>
      <c r="M3" s="3"/>
      <c r="N3" s="3"/>
      <c r="O3" s="3"/>
      <c r="P3" s="3" t="s">
        <v>368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369</v>
      </c>
      <c r="G4" s="5" t="s">
        <v>370</v>
      </c>
      <c r="H4" s="5" t="n">
        <v>18</v>
      </c>
      <c r="I4" s="5" t="s">
        <v>371</v>
      </c>
      <c r="J4" s="5"/>
      <c r="K4" s="5" t="s">
        <v>372</v>
      </c>
      <c r="L4" s="5" t="s">
        <v>373</v>
      </c>
      <c r="M4" s="5" t="n">
        <v>8</v>
      </c>
      <c r="N4" s="5" t="s">
        <v>374</v>
      </c>
      <c r="O4" s="5"/>
      <c r="P4" s="5" t="s">
        <v>375</v>
      </c>
      <c r="Q4" s="5" t="s">
        <v>376</v>
      </c>
      <c r="R4" s="5" t="n">
        <v>21</v>
      </c>
      <c r="S4" s="5" t="s">
        <v>101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3669000</v>
      </c>
      <c r="G5" s="6" t="n">
        <v>0</v>
      </c>
      <c r="H5" s="6" t="str">
        <f>F5-G5</f>
      </c>
      <c r="I5" s="5"/>
      <c r="J5" s="5"/>
      <c r="K5" s="6" t="n">
        <v>2607000</v>
      </c>
      <c r="L5" s="6" t="n">
        <v>0</v>
      </c>
      <c r="M5" s="6" t="str">
        <f>K5-L5</f>
      </c>
      <c r="N5" s="5"/>
      <c r="O5" s="5"/>
      <c r="P5" s="6" t="n">
        <v>2645000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0</v>
      </c>
      <c r="F7" s="5"/>
      <c r="G7" s="5"/>
      <c r="H7" s="5"/>
      <c r="I7" s="6" t="n">
        <v>0</v>
      </c>
      <c r="J7" s="5"/>
      <c r="K7" s="5"/>
      <c r="L7" s="5"/>
      <c r="M7" s="5"/>
      <c r="N7" s="6" t="n">
        <v>0</v>
      </c>
      <c r="O7" s="5"/>
      <c r="P7" s="5"/>
      <c r="Q7" s="5"/>
      <c r="R7" s="5"/>
      <c r="S7" s="6" t="n">
        <v>0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377</v>
      </c>
      <c r="G8" s="5" t="n">
        <v>48</v>
      </c>
      <c r="H8" s="5" t="n">
        <v>18</v>
      </c>
      <c r="I8" s="5"/>
      <c r="J8" s="5"/>
      <c r="K8" s="5" t="s">
        <v>378</v>
      </c>
      <c r="L8" s="5" t="n">
        <v>116</v>
      </c>
      <c r="M8" s="5" t="n">
        <v>8</v>
      </c>
      <c r="N8" s="5"/>
      <c r="O8" s="5"/>
      <c r="P8" s="5" t="s">
        <v>379</v>
      </c>
      <c r="Q8" s="5" t="n">
        <v>240</v>
      </c>
      <c r="R8" s="5" t="n">
        <v>21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2659832</v>
      </c>
      <c r="F9" s="5" t="s">
        <v>380</v>
      </c>
      <c r="G9" s="5" t="s">
        <v>381</v>
      </c>
      <c r="H9" s="5" t="s">
        <v>224</v>
      </c>
      <c r="I9" s="7" t="n">
        <v>3246866</v>
      </c>
      <c r="J9" s="8" t="n">
        <v>-587034</v>
      </c>
      <c r="K9" s="5" t="s">
        <v>382</v>
      </c>
      <c r="L9" s="5" t="s">
        <v>36</v>
      </c>
      <c r="M9" s="5" t="s">
        <v>183</v>
      </c>
      <c r="N9" s="7" t="n">
        <v>2446462</v>
      </c>
      <c r="O9" s="8" t="n">
        <v>213370</v>
      </c>
      <c r="P9" s="5" t="s">
        <v>383</v>
      </c>
      <c r="Q9" s="5" t="s">
        <v>115</v>
      </c>
      <c r="R9" s="5" t="s">
        <v>260</v>
      </c>
      <c r="S9" s="7" t="n">
        <v>2273945</v>
      </c>
      <c r="T9" s="8" t="n">
        <v>385887</v>
      </c>
    </row>
    <row r="10">
      <c r="A10" s="4" t="s">
        <v>47</v>
      </c>
      <c r="B10" s="5" t="s">
        <v>48</v>
      </c>
      <c r="C10" s="5"/>
      <c r="D10" s="5"/>
      <c r="E10" s="7" t="n">
        <v>741</v>
      </c>
      <c r="F10" s="5" t="s">
        <v>384</v>
      </c>
      <c r="G10" s="5"/>
      <c r="H10" s="5"/>
      <c r="I10" s="7" t="n">
        <v>946</v>
      </c>
      <c r="J10" s="8" t="n">
        <v>-205</v>
      </c>
      <c r="K10" s="5" t="s">
        <v>385</v>
      </c>
      <c r="L10" s="5"/>
      <c r="M10" s="5"/>
      <c r="N10" s="7" t="n">
        <v>595</v>
      </c>
      <c r="O10" s="8" t="n">
        <v>146</v>
      </c>
      <c r="P10" s="5" t="s">
        <v>386</v>
      </c>
      <c r="Q10" s="5"/>
      <c r="R10" s="5"/>
      <c r="S10" s="7" t="n">
        <v>596</v>
      </c>
      <c r="T10" s="8" t="n">
        <v>145</v>
      </c>
    </row>
    <row r="11">
      <c r="A11" s="4" t="s">
        <v>52</v>
      </c>
      <c r="B11" s="5" t="s">
        <v>53</v>
      </c>
      <c r="C11" s="5"/>
      <c r="D11" s="5"/>
      <c r="E11" s="7" t="n">
        <v>2120</v>
      </c>
      <c r="F11" s="5" t="s">
        <v>387</v>
      </c>
      <c r="G11" s="5"/>
      <c r="H11" s="5"/>
      <c r="I11" s="7" t="n">
        <v>3214</v>
      </c>
      <c r="J11" s="8" t="n">
        <v>-1094</v>
      </c>
      <c r="K11" s="5" t="s">
        <v>388</v>
      </c>
      <c r="L11" s="5"/>
      <c r="M11" s="5"/>
      <c r="N11" s="7" t="n">
        <v>2039</v>
      </c>
      <c r="O11" s="8" t="n">
        <v>81</v>
      </c>
      <c r="P11" s="5" t="s">
        <v>53</v>
      </c>
      <c r="Q11" s="5"/>
      <c r="R11" s="5"/>
      <c r="S11" s="7" t="n">
        <v>1813</v>
      </c>
      <c r="T11" s="8" t="n">
        <v>307</v>
      </c>
    </row>
    <row r="12">
      <c r="A12" s="4" t="s">
        <v>57</v>
      </c>
      <c r="B12" s="5" t="s">
        <v>58</v>
      </c>
      <c r="C12" s="5"/>
      <c r="D12" s="5"/>
      <c r="E12" s="6" t="n">
        <v>2928</v>
      </c>
      <c r="F12" s="5" t="s">
        <v>389</v>
      </c>
      <c r="G12" s="5"/>
      <c r="H12" s="5"/>
      <c r="I12" s="6" t="n">
        <v>3399</v>
      </c>
      <c r="J12" s="6" t="n">
        <v>-470</v>
      </c>
      <c r="K12" s="5" t="s">
        <v>390</v>
      </c>
      <c r="L12" s="5"/>
      <c r="M12" s="5"/>
      <c r="N12" s="6" t="n">
        <v>2303</v>
      </c>
      <c r="O12" s="6" t="n">
        <v>625</v>
      </c>
      <c r="P12" s="5" t="s">
        <v>391</v>
      </c>
      <c r="Q12" s="5"/>
      <c r="R12" s="5"/>
      <c r="S12" s="6" t="n">
        <v>1705</v>
      </c>
      <c r="T12" s="6" t="n">
        <v>1223</v>
      </c>
    </row>
    <row r="13">
      <c r="A13" s="4" t="s">
        <v>62</v>
      </c>
      <c r="B13" s="5" t="s">
        <v>63</v>
      </c>
      <c r="C13" s="5"/>
      <c r="D13" s="5"/>
      <c r="E13" s="6" t="n">
        <v>-1963</v>
      </c>
      <c r="F13" s="5" t="s">
        <v>392</v>
      </c>
      <c r="G13" s="5"/>
      <c r="H13" s="5"/>
      <c r="I13" s="6" t="n">
        <v>5494</v>
      </c>
      <c r="J13" s="6" t="n">
        <v>-7456</v>
      </c>
      <c r="K13" s="5" t="s">
        <v>393</v>
      </c>
      <c r="L13" s="5"/>
      <c r="M13" s="5"/>
      <c r="N13" s="6" t="n">
        <v>-3812</v>
      </c>
      <c r="O13" s="6" t="n">
        <v>1850</v>
      </c>
      <c r="P13" s="5" t="s">
        <v>394</v>
      </c>
      <c r="Q13" s="5"/>
      <c r="R13" s="5"/>
      <c r="S13" s="6" t="n">
        <v>-4799</v>
      </c>
      <c r="T13" s="6" t="n">
        <v>2836</v>
      </c>
    </row>
    <row r="14">
      <c r="A14" s="4" t="s">
        <v>67</v>
      </c>
      <c r="B14" s="5" t="s">
        <v>68</v>
      </c>
      <c r="C14" s="5"/>
      <c r="D14" s="5"/>
      <c r="E14" s="6" t="n">
        <v>-34</v>
      </c>
      <c r="F14" s="5" t="s">
        <v>69</v>
      </c>
      <c r="G14" s="5"/>
      <c r="H14" s="5"/>
      <c r="I14" s="6" t="n">
        <v>1649</v>
      </c>
      <c r="J14" s="6" t="n">
        <v>-1684</v>
      </c>
      <c r="K14" s="5" t="s">
        <v>68</v>
      </c>
      <c r="L14" s="5"/>
      <c r="M14" s="5"/>
      <c r="N14" s="6" t="n">
        <v>-32</v>
      </c>
      <c r="O14" s="6" t="n">
        <v>-3</v>
      </c>
      <c r="P14" s="5" t="s">
        <v>68</v>
      </c>
      <c r="Q14" s="5"/>
      <c r="R14" s="5"/>
      <c r="S14" s="6" t="n">
        <v>-30</v>
      </c>
      <c r="T14" s="6" t="n">
        <v>-5</v>
      </c>
    </row>
    <row r="15">
      <c r="A15" s="4" t="s">
        <v>70</v>
      </c>
      <c r="B15" s="5" t="s">
        <v>71</v>
      </c>
      <c r="C15" s="5"/>
      <c r="D15" s="5"/>
      <c r="E15" s="6" t="n">
        <v>0</v>
      </c>
      <c r="F15" s="5" t="s">
        <v>71</v>
      </c>
      <c r="G15" s="5"/>
      <c r="H15" s="5"/>
      <c r="I15" s="6" t="n">
        <v>0</v>
      </c>
      <c r="J15" s="6" t="n">
        <v>0</v>
      </c>
      <c r="K15" s="5" t="s">
        <v>71</v>
      </c>
      <c r="L15" s="5"/>
      <c r="M15" s="5"/>
      <c r="N15" s="6" t="n">
        <v>0</v>
      </c>
      <c r="O15" s="6" t="n">
        <v>0</v>
      </c>
      <c r="P15" s="5" t="s">
        <v>71</v>
      </c>
      <c r="Q15" s="5"/>
      <c r="R15" s="5"/>
      <c r="S15" s="6" t="n">
        <v>0</v>
      </c>
      <c r="T15" s="6" t="n">
        <v>0</v>
      </c>
    </row>
    <row r="16">
      <c r="A16" s="4" t="s">
        <v>73</v>
      </c>
      <c r="B16" s="5" t="s">
        <v>74</v>
      </c>
      <c r="C16" s="5"/>
      <c r="D16" s="5"/>
      <c r="E16" s="6" t="n">
        <v>79</v>
      </c>
      <c r="F16" s="5" t="s">
        <v>71</v>
      </c>
      <c r="G16" s="5"/>
      <c r="H16" s="5"/>
      <c r="I16" s="6" t="n">
        <v>180</v>
      </c>
      <c r="J16" s="6" t="n">
        <v>-101</v>
      </c>
      <c r="K16" s="5" t="s">
        <v>71</v>
      </c>
      <c r="L16" s="5"/>
      <c r="M16" s="5"/>
      <c r="N16" s="6" t="n">
        <v>136</v>
      </c>
      <c r="O16" s="6" t="n">
        <v>-57</v>
      </c>
      <c r="P16" s="5" t="s">
        <v>74</v>
      </c>
      <c r="Q16" s="5"/>
      <c r="R16" s="5"/>
      <c r="S16" s="6" t="n">
        <v>67</v>
      </c>
      <c r="T16" s="6" t="n">
        <v>11</v>
      </c>
    </row>
    <row r="17">
      <c r="A17" s="4" t="s">
        <v>75</v>
      </c>
      <c r="B17" s="5"/>
      <c r="C17" s="5"/>
      <c r="D17" s="5"/>
      <c r="E17" s="6" t="n">
        <v>-177</v>
      </c>
      <c r="F17" s="5"/>
      <c r="G17" s="5"/>
      <c r="H17" s="5"/>
      <c r="I17" s="6" t="n">
        <v>-153</v>
      </c>
      <c r="J17" s="6" t="n">
        <v>-24</v>
      </c>
      <c r="K17" s="5"/>
      <c r="L17" s="5"/>
      <c r="M17" s="5"/>
      <c r="N17" s="6" t="n">
        <v>-192</v>
      </c>
      <c r="O17" s="6" t="n">
        <v>15</v>
      </c>
      <c r="P17" s="5"/>
      <c r="Q17" s="5"/>
      <c r="R17" s="5"/>
      <c r="S17" s="6" t="n">
        <v>-218</v>
      </c>
      <c r="T17" s="6" t="n">
        <v>42</v>
      </c>
    </row>
    <row r="18">
      <c r="A18" s="4" t="s">
        <v>76</v>
      </c>
      <c r="B18" s="5"/>
      <c r="C18" s="5"/>
      <c r="D18" s="5"/>
      <c r="E18" s="6" t="n">
        <v>319</v>
      </c>
      <c r="F18" s="5"/>
      <c r="G18" s="5"/>
      <c r="H18" s="5"/>
      <c r="I18" s="6" t="n">
        <v>-1062</v>
      </c>
      <c r="J18" s="6" t="n">
        <v>1382</v>
      </c>
      <c r="K18" s="5"/>
      <c r="L18" s="5"/>
      <c r="M18" s="5"/>
      <c r="N18" s="6" t="n">
        <v>297</v>
      </c>
      <c r="O18" s="6" t="n">
        <v>22</v>
      </c>
      <c r="P18" s="5"/>
      <c r="Q18" s="5"/>
      <c r="R18" s="5"/>
      <c r="S18" s="6" t="n">
        <v>261</v>
      </c>
      <c r="T18" s="6" t="n">
        <v>58</v>
      </c>
    </row>
    <row r="19">
      <c r="A19" s="4" t="s">
        <v>77</v>
      </c>
      <c r="B19" s="5"/>
      <c r="C19" s="5"/>
      <c r="D19" s="5"/>
      <c r="E19" s="6" t="n">
        <v>453</v>
      </c>
      <c r="F19" s="5"/>
      <c r="G19" s="5"/>
      <c r="H19" s="5"/>
      <c r="I19" s="6" t="n">
        <v>-526</v>
      </c>
      <c r="J19" s="6" t="n">
        <v>978</v>
      </c>
      <c r="K19" s="5"/>
      <c r="L19" s="5"/>
      <c r="M19" s="5"/>
      <c r="N19" s="6" t="n">
        <v>603</v>
      </c>
      <c r="O19" s="6" t="n">
        <v>-150</v>
      </c>
      <c r="P19" s="5"/>
      <c r="Q19" s="5"/>
      <c r="R19" s="5"/>
      <c r="S19" s="6" t="n">
        <v>664</v>
      </c>
      <c r="T19" s="6" t="n">
        <v>-212</v>
      </c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 t="s">
        <v>78</v>
      </c>
      <c r="B21" s="3" t="s">
        <v>79</v>
      </c>
      <c r="C21" s="3"/>
      <c r="D21" s="3"/>
      <c r="E21" s="3" t="s">
        <v>26</v>
      </c>
      <c r="F21" s="3" t="s">
        <v>80</v>
      </c>
      <c r="G21" s="3"/>
      <c r="H21" s="3"/>
      <c r="I21" s="3" t="s">
        <v>26</v>
      </c>
      <c r="J21" s="3" t="s">
        <v>27</v>
      </c>
      <c r="K21" s="3" t="s">
        <v>80</v>
      </c>
      <c r="L21" s="3"/>
      <c r="M21" s="3"/>
      <c r="N21" s="3" t="s">
        <v>26</v>
      </c>
      <c r="O21" s="3" t="s">
        <v>27</v>
      </c>
      <c r="P21" s="3" t="s">
        <v>80</v>
      </c>
      <c r="Q21" s="3"/>
      <c r="R21" s="3"/>
      <c r="S21" s="3" t="s">
        <v>26</v>
      </c>
      <c r="T21" s="3" t="s">
        <v>27</v>
      </c>
    </row>
    <row r="22">
      <c r="A22" s="4" t="s">
        <v>81</v>
      </c>
      <c r="B22" s="9" t="n">
        <v>9.1</v>
      </c>
      <c r="C22" s="2"/>
      <c r="D22" s="2"/>
      <c r="E22" s="11" t="str">
        <f>510045-SUM(E23:E33)</f>
      </c>
      <c r="F22" s="9" t="n">
        <v>8.32</v>
      </c>
      <c r="G22" s="5"/>
      <c r="H22" s="5"/>
      <c r="I22" s="10" t="str">
        <f>408993-SUM(I23:I33)</f>
      </c>
      <c r="J22" s="10" t="str">
        <f>E22-I22</f>
      </c>
      <c r="K22" s="9" t="n">
        <v>6.55</v>
      </c>
      <c r="L22" s="5"/>
      <c r="M22" s="5"/>
      <c r="N22" s="10" t="str">
        <f>158603-SUM(N23:N33)</f>
      </c>
      <c r="O22" s="10" t="str">
        <f>E22-N22</f>
      </c>
      <c r="P22" s="9" t="n">
        <v>8.11</v>
      </c>
      <c r="Q22" s="5"/>
      <c r="R22" s="5"/>
      <c r="S22" s="10" t="str">
        <f>370996-SUM(S23:S33)</f>
      </c>
      <c r="T22" s="10" t="str">
        <f>E22-S22</f>
      </c>
    </row>
    <row r="23">
      <c r="A23" s="4" t="s">
        <v>82</v>
      </c>
      <c r="B23" s="5"/>
      <c r="C23" s="5"/>
      <c r="D23" s="5"/>
      <c r="E23" s="16" t="n">
        <v>0</v>
      </c>
      <c r="F23" s="5"/>
      <c r="G23" s="5"/>
      <c r="H23" s="5"/>
      <c r="I23" s="16" t="n">
        <v>0</v>
      </c>
      <c r="J23" s="8" t="str">
        <f>E23-I23</f>
      </c>
      <c r="K23" s="5"/>
      <c r="L23" s="5"/>
      <c r="M23" s="5"/>
      <c r="N23" s="16" t="n">
        <v>0</v>
      </c>
      <c r="O23" s="8" t="str">
        <f>E23-N23</f>
      </c>
      <c r="P23" s="5"/>
      <c r="Q23" s="5"/>
      <c r="R23" s="5"/>
      <c r="S23" s="16" t="n">
        <v>0</v>
      </c>
      <c r="T23" s="8" t="str">
        <f>E23-S23</f>
      </c>
    </row>
    <row r="24">
      <c r="A24" s="4" t="s">
        <v>83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84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85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86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/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 t="s">
        <v>87</v>
      </c>
      <c r="B34" s="5"/>
      <c r="C34" s="5"/>
      <c r="D34" s="5"/>
      <c r="E34" s="6" t="n">
        <v>2664298</v>
      </c>
      <c r="F34" s="5"/>
      <c r="G34" s="5"/>
      <c r="H34" s="5"/>
      <c r="I34" s="5"/>
      <c r="J34" s="6" t="n">
        <v>-494656</v>
      </c>
      <c r="K34" s="5"/>
      <c r="L34" s="5"/>
      <c r="M34" s="5"/>
      <c r="N34" s="5"/>
      <c r="O34" s="6" t="n">
        <v>567344</v>
      </c>
      <c r="P34" s="5"/>
      <c r="Q34" s="5"/>
      <c r="R34" s="5"/>
      <c r="S34" s="5"/>
      <c r="T34" s="6" t="n">
        <v>529344</v>
      </c>
    </row>
    <row r="35">
      <c r="A35" s="4" t="s">
        <v>88</v>
      </c>
      <c r="B35" s="5"/>
      <c r="C35" s="5"/>
      <c r="D35" s="5"/>
      <c r="E35" s="5"/>
      <c r="F35" s="5"/>
      <c r="G35" s="5"/>
      <c r="H35" s="5"/>
      <c r="I35" s="5"/>
      <c r="J35" s="12" t="n">
        <v>-0.135</v>
      </c>
      <c r="K35" s="5"/>
      <c r="L35" s="5"/>
      <c r="M35" s="5"/>
      <c r="N35" s="5"/>
      <c r="O35" s="12" t="n">
        <v>0.218</v>
      </c>
      <c r="P35" s="5"/>
      <c r="Q35" s="5"/>
      <c r="R35" s="5"/>
      <c r="S35" s="5"/>
      <c r="T35" s="12" t="n">
        <v>0.2</v>
      </c>
    </row>
    <row r="36">
      <c r="A36" s="4" t="s">
        <v>89</v>
      </c>
      <c r="B36" s="5"/>
      <c r="C36" s="5"/>
      <c r="D36" s="5"/>
      <c r="E36" s="5"/>
      <c r="F36" s="5"/>
      <c r="G36" s="5"/>
      <c r="H36" s="5"/>
      <c r="I36" s="5"/>
      <c r="J36" s="12" t="n">
        <v>0.245</v>
      </c>
      <c r="K36" s="5"/>
      <c r="L36" s="5"/>
      <c r="M36" s="5"/>
      <c r="N36" s="5"/>
      <c r="O36" s="12" t="n">
        <v>0.245</v>
      </c>
      <c r="P36" s="5"/>
      <c r="Q36" s="5"/>
      <c r="R36" s="5"/>
      <c r="S36" s="5"/>
      <c r="T36" s="12" t="n">
        <v>0.25</v>
      </c>
    </row>
    <row r="37">
      <c r="A37" s="14" t="s">
        <v>90</v>
      </c>
      <c r="B37" s="13" t="str">
        <f>SUM(E7:E33)</f>
      </c>
      <c r="C37" s="13"/>
      <c r="D37" s="13"/>
      <c r="E37" s="13"/>
      <c r="F37" s="13" t="str">
        <f>H5+SUM(J9:J33)</f>
      </c>
      <c r="G37" s="13"/>
      <c r="H37" s="13"/>
      <c r="I37" s="13"/>
      <c r="J37" s="13"/>
      <c r="K37" s="13" t="str">
        <f>M5+SUM(O9:O33)</f>
      </c>
      <c r="L37" s="13"/>
      <c r="M37" s="13"/>
      <c r="N37" s="13"/>
      <c r="O37" s="13"/>
      <c r="P37" s="13" t="str">
        <f>R5+SUM(T9:T33)</f>
      </c>
      <c r="Q37" s="13"/>
      <c r="R37" s="13"/>
      <c r="S37" s="13"/>
      <c r="T37" s="13"/>
    </row>
    <row r="38">
      <c r="A38" s="15" t="s">
        <v>91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1:C21"/>
    <mergeCell ref="F21:H21"/>
    <mergeCell ref="K21:M21"/>
    <mergeCell ref="P21:R21"/>
    <mergeCell ref="B37:E37"/>
    <mergeCell ref="F37:J37"/>
    <mergeCell ref="K37:O37"/>
    <mergeCell ref="P37:T37"/>
    <mergeCell ref="A38:T3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claude-code</dc:creator>
  <cp:lastModifiedBy>claude-code</cp:lastModifiedBy>
  <dcterms:created xsi:type="dcterms:W3CDTF">2026-03-25T14:41:37Z</dcterms:created>
</coreProperties>
</file>